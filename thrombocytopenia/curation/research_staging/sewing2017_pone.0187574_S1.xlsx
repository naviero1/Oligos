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 activeTab="1"/>
  </bookViews>
  <sheets>
    <sheet name="Figure 1" sheetId="1" r:id="rId1"/>
    <sheet name="Figure 2" sheetId="2" r:id="rId2"/>
    <sheet name="Figure 3" sheetId="3" r:id="rId3"/>
    <sheet name="Figure 4" sheetId="4" r:id="rId4"/>
    <sheet name="Figure 5" sheetId="5" r:id="rId5"/>
    <sheet name="Figure 6" sheetId="6" r:id="rId6"/>
  </sheets>
  <calcPr calcId="145621"/>
</workbook>
</file>

<file path=xl/calcChain.xml><?xml version="1.0" encoding="utf-8"?>
<calcChain xmlns="http://schemas.openxmlformats.org/spreadsheetml/2006/main">
  <c r="Q92" i="5" l="1"/>
  <c r="P92" i="5"/>
  <c r="J92" i="5"/>
  <c r="I92" i="5"/>
  <c r="Q91" i="5"/>
  <c r="P91" i="5"/>
  <c r="J91" i="5"/>
  <c r="I91" i="5"/>
  <c r="Q89" i="5"/>
  <c r="P89" i="5"/>
  <c r="J89" i="5"/>
  <c r="I89" i="5"/>
  <c r="Q88" i="5"/>
  <c r="P88" i="5"/>
  <c r="J88" i="5"/>
  <c r="I88" i="5"/>
  <c r="Q86" i="5"/>
  <c r="P86" i="5"/>
  <c r="J86" i="5"/>
  <c r="I86" i="5"/>
  <c r="Q84" i="5"/>
  <c r="P84" i="5"/>
  <c r="J84" i="5"/>
  <c r="I84" i="5"/>
  <c r="Q83" i="5"/>
  <c r="P83" i="5"/>
  <c r="J83" i="5"/>
  <c r="I83" i="5"/>
  <c r="Q85" i="5"/>
  <c r="P85" i="5"/>
  <c r="J85" i="5"/>
  <c r="I85" i="5"/>
</calcChain>
</file>

<file path=xl/sharedStrings.xml><?xml version="1.0" encoding="utf-8"?>
<sst xmlns="http://schemas.openxmlformats.org/spreadsheetml/2006/main" count="312" uniqueCount="121">
  <si>
    <t>Sewing et al. Raw data</t>
  </si>
  <si>
    <t>Figure 1</t>
  </si>
  <si>
    <t>neg ctrl</t>
  </si>
  <si>
    <t>ADP</t>
  </si>
  <si>
    <t>TRAP</t>
  </si>
  <si>
    <t xml:space="preserve"> + PS</t>
  </si>
  <si>
    <t xml:space="preserve"> - PS</t>
  </si>
  <si>
    <t>condition</t>
  </si>
  <si>
    <t>MFI PAC</t>
  </si>
  <si>
    <t>MFI P Selectin</t>
  </si>
  <si>
    <t xml:space="preserve">AC 8 </t>
  </si>
  <si>
    <t>30 uM</t>
  </si>
  <si>
    <t>10 uM</t>
  </si>
  <si>
    <t>3 uM</t>
  </si>
  <si>
    <t>1 uM</t>
  </si>
  <si>
    <t>0.3 uM</t>
  </si>
  <si>
    <t xml:space="preserve">Figure 2 </t>
  </si>
  <si>
    <t>% binding</t>
  </si>
  <si>
    <t>collagen 110 KD</t>
  </si>
  <si>
    <t>collagen 66 KD</t>
  </si>
  <si>
    <t>collagen 22 KD</t>
  </si>
  <si>
    <t xml:space="preserve">Figure 3 </t>
  </si>
  <si>
    <t>ODN2395 Thio</t>
  </si>
  <si>
    <t>AC8</t>
  </si>
  <si>
    <t>AC9</t>
  </si>
  <si>
    <t>conc AC5</t>
  </si>
  <si>
    <t>conc AC6</t>
  </si>
  <si>
    <t>conc AC7</t>
  </si>
  <si>
    <t>conc AC8</t>
  </si>
  <si>
    <t>conc AC9</t>
  </si>
  <si>
    <t>conc AC10</t>
  </si>
  <si>
    <t>conc AC11</t>
  </si>
  <si>
    <t>HPP SP</t>
  </si>
  <si>
    <t>MK CFC</t>
  </si>
  <si>
    <t>R848</t>
  </si>
  <si>
    <t>CpG</t>
  </si>
  <si>
    <t>poly DC</t>
  </si>
  <si>
    <t>PBS</t>
  </si>
  <si>
    <t xml:space="preserve">MCP1 </t>
  </si>
  <si>
    <t>IL8</t>
  </si>
  <si>
    <t>C3a</t>
  </si>
  <si>
    <t>Class. Path.</t>
  </si>
  <si>
    <t>Alt. Path.</t>
  </si>
  <si>
    <t>Inhib.</t>
  </si>
  <si>
    <t>C5a</t>
  </si>
  <si>
    <r>
      <t xml:space="preserve">[ATPi] in </t>
    </r>
    <r>
      <rPr>
        <b/>
        <sz val="10"/>
        <rFont val="Symbol"/>
        <family val="1"/>
        <charset val="2"/>
      </rPr>
      <t></t>
    </r>
    <r>
      <rPr>
        <b/>
        <sz val="10"/>
        <rFont val="Arial"/>
        <family val="2"/>
      </rPr>
      <t>M</t>
    </r>
  </si>
  <si>
    <t>16 LNA</t>
  </si>
  <si>
    <t>18 LNA</t>
  </si>
  <si>
    <t>20 LNA</t>
  </si>
  <si>
    <t>AC8 concentration response:</t>
  </si>
  <si>
    <t>Individual data Whole Blood Assays [Stimulation Index]</t>
  </si>
  <si>
    <t>MCP1</t>
  </si>
  <si>
    <t>PAC MFI</t>
  </si>
  <si>
    <t>AC8 LNA</t>
  </si>
  <si>
    <t>AC10 LNA</t>
  </si>
  <si>
    <t>P-Sel MFI</t>
  </si>
  <si>
    <t xml:space="preserve">16 - </t>
  </si>
  <si>
    <t xml:space="preserve">16 + </t>
  </si>
  <si>
    <t xml:space="preserve">18 - </t>
  </si>
  <si>
    <t>18 +</t>
  </si>
  <si>
    <t xml:space="preserve">20 - </t>
  </si>
  <si>
    <t xml:space="preserve">20 + </t>
  </si>
  <si>
    <t>Axis label</t>
  </si>
  <si>
    <t>mean</t>
  </si>
  <si>
    <t>c [µg/mL]</t>
  </si>
  <si>
    <t>value #1</t>
  </si>
  <si>
    <t>value #2</t>
  </si>
  <si>
    <t>c [µM]</t>
  </si>
  <si>
    <t>AC(6)</t>
  </si>
  <si>
    <t>AC(8)</t>
  </si>
  <si>
    <t>AC(10)</t>
  </si>
  <si>
    <t>OD450 sample/OD450 PF4</t>
  </si>
  <si>
    <t xml:space="preserve"> %  heparin </t>
  </si>
  <si>
    <t>AC(5)</t>
  </si>
  <si>
    <t>AC(7)</t>
  </si>
  <si>
    <t>AC(9)</t>
  </si>
  <si>
    <t>AC(11)</t>
  </si>
  <si>
    <t>ODN 2395</t>
  </si>
  <si>
    <t>AC(8) + LNA</t>
  </si>
  <si>
    <t>AC(9) + LNA</t>
  </si>
  <si>
    <t>AC(10) + LNA</t>
  </si>
  <si>
    <t>% Heparin</t>
  </si>
  <si>
    <t xml:space="preserve">%  heparin </t>
  </si>
  <si>
    <t xml:space="preserve">Heparin </t>
  </si>
  <si>
    <t>value #3</t>
  </si>
  <si>
    <t>value #4</t>
  </si>
  <si>
    <t>SD</t>
  </si>
  <si>
    <t>Stdev</t>
  </si>
  <si>
    <t>Plate1 #1</t>
  </si>
  <si>
    <t>Plate 1 #2</t>
  </si>
  <si>
    <t>Plate2 #1</t>
  </si>
  <si>
    <t>Plate 2 #2</t>
  </si>
  <si>
    <t>Plate3 #1</t>
  </si>
  <si>
    <t>Plate 3 #2</t>
  </si>
  <si>
    <t>Plate4 #1</t>
  </si>
  <si>
    <t>Plate 4 #2</t>
  </si>
  <si>
    <t>Plate5 #1</t>
  </si>
  <si>
    <t>Plate 5 #2</t>
  </si>
  <si>
    <t xml:space="preserve">AC10 </t>
  </si>
  <si>
    <t>AC9 LNA</t>
  </si>
  <si>
    <t>AC10</t>
  </si>
  <si>
    <t>Stimulation Index PAC</t>
  </si>
  <si>
    <t>Stimulation Index P Selectin</t>
  </si>
  <si>
    <t>(AC)8 concentration response</t>
  </si>
  <si>
    <t>conc</t>
  </si>
  <si>
    <t>(C) GPVI binding</t>
  </si>
  <si>
    <t>(A) Platelet activation</t>
  </si>
  <si>
    <t>(B) Platelet activation</t>
  </si>
  <si>
    <t xml:space="preserve"> (D) PF4 ELISA</t>
  </si>
  <si>
    <t>(E) Platelet activation with kinase inhibitors</t>
  </si>
  <si>
    <t>neg control</t>
  </si>
  <si>
    <t>5 µM BAY 61-3606</t>
  </si>
  <si>
    <t>Donor 1- 5</t>
  </si>
  <si>
    <t>PAC1 - MFI</t>
  </si>
  <si>
    <t>Mean</t>
  </si>
  <si>
    <t>Std</t>
  </si>
  <si>
    <t>P-Selectin - MFI</t>
  </si>
  <si>
    <t xml:space="preserve">ADP </t>
  </si>
  <si>
    <t xml:space="preserve">TRAP </t>
  </si>
  <si>
    <t xml:space="preserve">(AC)11  </t>
  </si>
  <si>
    <t xml:space="preserve"> 5 µM PP2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</si>
</sst>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000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Symbol"/>
      <family val="1"/>
      <charset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0" fillId="0" borderId="1" xfId="0" applyNumberFormat="1" applyBorder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4" fontId="0" fillId="0" borderId="1" xfId="0" applyNumberFormat="1" applyBorder="1"/>
    <xf numFmtId="0" fontId="0" fillId="0" borderId="1" xfId="0" applyFill="1" applyBorder="1"/>
    <xf numFmtId="164" fontId="0" fillId="0" borderId="1" xfId="0" applyNumberFormat="1" applyFill="1" applyBorder="1"/>
    <xf numFmtId="0" fontId="0" fillId="0" borderId="0" xfId="0" applyFill="1" applyBorder="1"/>
    <xf numFmtId="0" fontId="0" fillId="0" borderId="0" xfId="0" applyFill="1"/>
    <xf numFmtId="0" fontId="2" fillId="0" borderId="0" xfId="0" applyFont="1" applyFill="1"/>
    <xf numFmtId="0" fontId="0" fillId="0" borderId="0" xfId="0" applyFont="1"/>
    <xf numFmtId="164" fontId="0" fillId="0" borderId="0" xfId="0" applyNumberFormat="1" applyAlignment="1">
      <alignment horizontal="center"/>
    </xf>
    <xf numFmtId="165" fontId="0" fillId="0" borderId="0" xfId="0" applyNumberFormat="1" applyFont="1" applyAlignment="1">
      <alignment horizontal="center"/>
    </xf>
    <xf numFmtId="165" fontId="6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6" fillId="0" borderId="0" xfId="0" applyNumberFormat="1" applyFont="1" applyFill="1" applyBorder="1" applyAlignment="1">
      <alignment horizontal="center" vertical="center"/>
    </xf>
    <xf numFmtId="165" fontId="0" fillId="0" borderId="0" xfId="0" applyNumberFormat="1" applyFont="1"/>
    <xf numFmtId="165" fontId="6" fillId="0" borderId="0" xfId="0" applyNumberFormat="1" applyFont="1" applyFill="1" applyBorder="1"/>
    <xf numFmtId="165" fontId="0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166" fontId="0" fillId="0" borderId="0" xfId="0" applyNumberFormat="1"/>
    <xf numFmtId="0" fontId="2" fillId="0" borderId="0" xfId="0" applyFont="1" applyFill="1" applyAlignment="1">
      <alignment vertical="center"/>
    </xf>
    <xf numFmtId="2" fontId="0" fillId="0" borderId="0" xfId="0" applyNumberFormat="1" applyFont="1" applyAlignment="1">
      <alignment horizontal="center"/>
    </xf>
    <xf numFmtId="2" fontId="0" fillId="0" borderId="0" xfId="0" applyNumberFormat="1" applyFont="1" applyFill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 applyAlignment="1"/>
    <xf numFmtId="0" fontId="4" fillId="0" borderId="0" xfId="0" applyFont="1"/>
    <xf numFmtId="0" fontId="1" fillId="0" borderId="0" xfId="0" applyFont="1"/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Border="1"/>
    <xf numFmtId="2" fontId="2" fillId="0" borderId="6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2" fillId="0" borderId="1" xfId="0" applyNumberFormat="1" applyFont="1" applyBorder="1"/>
    <xf numFmtId="2" fontId="2" fillId="0" borderId="7" xfId="0" applyNumberFormat="1" applyFont="1" applyBorder="1"/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2" fontId="2" fillId="0" borderId="11" xfId="0" applyNumberFormat="1" applyFont="1" applyBorder="1"/>
    <xf numFmtId="2" fontId="2" fillId="0" borderId="12" xfId="0" applyNumberFormat="1" applyFont="1" applyBorder="1"/>
    <xf numFmtId="0" fontId="8" fillId="0" borderId="0" xfId="0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2" fontId="2" fillId="3" borderId="17" xfId="0" applyNumberFormat="1" applyFont="1" applyFill="1" applyBorder="1" applyAlignment="1">
      <alignment horizontal="center"/>
    </xf>
    <xf numFmtId="2" fontId="2" fillId="0" borderId="18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2" fontId="2" fillId="0" borderId="20" xfId="0" applyNumberFormat="1" applyFont="1" applyBorder="1" applyAlignment="1">
      <alignment horizontal="center"/>
    </xf>
    <xf numFmtId="2" fontId="2" fillId="0" borderId="19" xfId="0" applyNumberFormat="1" applyFont="1" applyBorder="1"/>
    <xf numFmtId="2" fontId="2" fillId="0" borderId="21" xfId="0" applyNumberFormat="1" applyFont="1" applyBorder="1"/>
    <xf numFmtId="0" fontId="7" fillId="0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2" fontId="2" fillId="0" borderId="0" xfId="0" applyNumberFormat="1" applyFont="1"/>
    <xf numFmtId="2" fontId="2" fillId="0" borderId="0" xfId="0" applyNumberFormat="1" applyFont="1" applyBorder="1"/>
    <xf numFmtId="0" fontId="7" fillId="2" borderId="5" xfId="0" applyFont="1" applyFill="1" applyBorder="1" applyAlignment="1">
      <alignment horizontal="center"/>
    </xf>
    <xf numFmtId="0" fontId="9" fillId="0" borderId="0" xfId="0" applyFont="1"/>
    <xf numFmtId="0" fontId="7" fillId="2" borderId="13" xfId="0" applyFont="1" applyFill="1" applyBorder="1" applyAlignment="1">
      <alignment horizontal="center"/>
    </xf>
    <xf numFmtId="2" fontId="2" fillId="0" borderId="22" xfId="0" applyNumberFormat="1" applyFont="1" applyBorder="1" applyAlignment="1">
      <alignment horizontal="center"/>
    </xf>
    <xf numFmtId="2" fontId="2" fillId="0" borderId="23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opLeftCell="A19" workbookViewId="0">
      <selection activeCell="H5" sqref="H5"/>
    </sheetView>
  </sheetViews>
  <sheetFormatPr defaultRowHeight="14.4" x14ac:dyDescent="0.3"/>
  <cols>
    <col min="1" max="1" width="15" customWidth="1"/>
    <col min="2" max="4" width="10.5546875" bestFit="1" customWidth="1"/>
  </cols>
  <sheetData>
    <row r="1" spans="1:19" x14ac:dyDescent="0.3">
      <c r="A1" t="s">
        <v>0</v>
      </c>
    </row>
    <row r="3" spans="1:19" x14ac:dyDescent="0.3">
      <c r="A3" s="9" t="s">
        <v>1</v>
      </c>
      <c r="B3" s="79" t="s">
        <v>8</v>
      </c>
      <c r="C3" s="79"/>
      <c r="D3" s="79"/>
      <c r="E3" s="79"/>
      <c r="F3" s="79"/>
    </row>
    <row r="4" spans="1:19" x14ac:dyDescent="0.3">
      <c r="A4" t="s">
        <v>7</v>
      </c>
      <c r="B4" s="9">
        <v>1</v>
      </c>
      <c r="C4" s="35">
        <v>2</v>
      </c>
      <c r="D4" s="35">
        <v>3</v>
      </c>
      <c r="E4" s="35">
        <v>4</v>
      </c>
      <c r="F4" s="35">
        <v>5</v>
      </c>
      <c r="G4" s="35"/>
      <c r="H4" s="35"/>
      <c r="I4" s="35"/>
      <c r="J4" s="35"/>
      <c r="K4" s="35"/>
      <c r="L4" s="27"/>
      <c r="M4" s="16"/>
      <c r="N4" s="16"/>
    </row>
    <row r="5" spans="1:19" x14ac:dyDescent="0.3">
      <c r="A5" s="1" t="s">
        <v>2</v>
      </c>
      <c r="B5" s="28">
        <v>1.1766666666666665</v>
      </c>
      <c r="C5" s="28">
        <v>1.2333333333333334</v>
      </c>
      <c r="D5" s="28">
        <v>2.4733333333333332</v>
      </c>
      <c r="E5" s="28">
        <v>1.0966666666666667</v>
      </c>
      <c r="F5" s="28">
        <v>1.6633333333333333</v>
      </c>
      <c r="G5" s="28"/>
      <c r="H5" s="28"/>
      <c r="I5" s="28"/>
      <c r="J5" s="28"/>
      <c r="K5" s="28"/>
      <c r="L5" s="27"/>
      <c r="M5" s="42"/>
      <c r="N5" s="42"/>
      <c r="O5" s="42"/>
      <c r="P5" s="42"/>
      <c r="Q5" s="42"/>
    </row>
    <row r="6" spans="1:19" x14ac:dyDescent="0.3">
      <c r="A6" s="1" t="s">
        <v>3</v>
      </c>
      <c r="B6" s="26">
        <v>8.2833333333333332</v>
      </c>
      <c r="C6" s="26">
        <v>8.6366666666666685</v>
      </c>
      <c r="D6" s="26">
        <v>6.4033333333333333</v>
      </c>
      <c r="E6" s="26">
        <v>3.91</v>
      </c>
      <c r="F6" s="26">
        <v>4.6400000000000006</v>
      </c>
      <c r="G6" s="26"/>
      <c r="H6" s="26"/>
      <c r="I6" s="26"/>
      <c r="J6" s="26"/>
      <c r="K6" s="26"/>
      <c r="L6" s="27"/>
      <c r="M6" s="42"/>
      <c r="N6" s="42"/>
      <c r="O6" s="42"/>
      <c r="P6" s="42"/>
      <c r="Q6" s="42"/>
    </row>
    <row r="7" spans="1:19" x14ac:dyDescent="0.3">
      <c r="A7" s="1" t="s">
        <v>4</v>
      </c>
      <c r="B7" s="25">
        <v>6.623333333333334</v>
      </c>
      <c r="C7" s="25">
        <v>3.2266666666666666</v>
      </c>
      <c r="D7" s="25">
        <v>7.3966666666666656</v>
      </c>
      <c r="E7" s="25">
        <v>4.13</v>
      </c>
      <c r="F7" s="25">
        <v>4.9399999999999995</v>
      </c>
      <c r="G7" s="25"/>
      <c r="H7" s="25"/>
      <c r="I7" s="41"/>
      <c r="J7" s="41"/>
      <c r="K7" s="41"/>
      <c r="L7" s="41"/>
      <c r="M7" s="41"/>
      <c r="N7" s="42"/>
      <c r="O7" s="42"/>
      <c r="P7" s="42"/>
      <c r="Q7" s="42"/>
    </row>
    <row r="8" spans="1:19" x14ac:dyDescent="0.3">
      <c r="A8" s="1" t="s">
        <v>5</v>
      </c>
      <c r="B8" s="25">
        <v>20.73</v>
      </c>
      <c r="C8" s="25">
        <v>25.39</v>
      </c>
      <c r="D8" s="25">
        <v>17.506666666666668</v>
      </c>
      <c r="E8" s="25">
        <v>14.19</v>
      </c>
      <c r="F8" s="25">
        <v>16.856666666666666</v>
      </c>
      <c r="G8" s="27"/>
      <c r="H8" s="27"/>
      <c r="I8" s="41"/>
      <c r="J8" s="41"/>
      <c r="K8" s="41"/>
      <c r="L8" s="41"/>
      <c r="M8" s="41"/>
      <c r="N8" s="16"/>
    </row>
    <row r="9" spans="1:19" x14ac:dyDescent="0.3">
      <c r="A9" s="1" t="s">
        <v>6</v>
      </c>
      <c r="B9" s="25">
        <v>1.1466666666666665</v>
      </c>
      <c r="C9" s="25">
        <v>1.27</v>
      </c>
      <c r="D9" s="25">
        <v>2.83</v>
      </c>
      <c r="E9" s="25">
        <v>1.2333333333333332</v>
      </c>
      <c r="F9" s="25">
        <v>1.78</v>
      </c>
      <c r="G9" s="27"/>
      <c r="H9" s="27"/>
      <c r="I9" s="27"/>
      <c r="J9" s="27"/>
      <c r="K9" s="27"/>
      <c r="L9" s="27"/>
    </row>
    <row r="10" spans="1:19" x14ac:dyDescent="0.3">
      <c r="A10" s="1">
        <v>10</v>
      </c>
      <c r="B10" s="28">
        <v>1.4966666666666668</v>
      </c>
      <c r="C10" s="28">
        <v>2.0033333333333334</v>
      </c>
      <c r="D10" s="28">
        <v>3.4866666666666668</v>
      </c>
      <c r="E10" s="28">
        <v>1.4933333333333332</v>
      </c>
      <c r="F10" s="28">
        <v>2.1</v>
      </c>
      <c r="G10" s="27"/>
      <c r="H10" s="42"/>
      <c r="I10" s="42"/>
      <c r="J10" s="42"/>
      <c r="K10" s="42"/>
      <c r="L10" s="42"/>
      <c r="R10" s="25"/>
      <c r="S10" s="25"/>
    </row>
    <row r="11" spans="1:19" x14ac:dyDescent="0.3">
      <c r="A11" s="1">
        <v>12</v>
      </c>
      <c r="B11" s="28">
        <v>7.5066666666666668</v>
      </c>
      <c r="C11" s="28">
        <v>4.8600000000000003</v>
      </c>
      <c r="D11" s="28">
        <v>5.1333333333333329</v>
      </c>
      <c r="E11" s="28">
        <v>2.706666666666667</v>
      </c>
      <c r="F11" s="28">
        <v>2.7100000000000004</v>
      </c>
      <c r="G11" s="27"/>
      <c r="H11" s="42"/>
      <c r="I11" s="42"/>
      <c r="J11" s="42"/>
      <c r="K11" s="42"/>
      <c r="L11" s="42"/>
      <c r="R11" s="25"/>
      <c r="S11" s="25"/>
    </row>
    <row r="12" spans="1:19" x14ac:dyDescent="0.3">
      <c r="A12" s="1">
        <v>14</v>
      </c>
      <c r="B12" s="29">
        <v>14.843333333333334</v>
      </c>
      <c r="C12" s="29">
        <v>11.323333333333332</v>
      </c>
      <c r="D12" s="29">
        <v>7.43</v>
      </c>
      <c r="E12" s="29">
        <v>5.5733333333333333</v>
      </c>
      <c r="F12" s="29">
        <v>3.7100000000000004</v>
      </c>
      <c r="G12" s="27"/>
      <c r="H12" s="42"/>
      <c r="I12" s="42"/>
      <c r="J12" s="42"/>
      <c r="K12" s="42"/>
      <c r="L12" s="42"/>
      <c r="R12" s="25"/>
      <c r="S12" s="25"/>
    </row>
    <row r="13" spans="1:19" x14ac:dyDescent="0.3">
      <c r="A13" s="1">
        <v>16</v>
      </c>
      <c r="B13" s="29">
        <v>18.903333333333332</v>
      </c>
      <c r="C13" s="29">
        <v>21.826666666666664</v>
      </c>
      <c r="D13" s="29">
        <v>15.556666666666667</v>
      </c>
      <c r="E13" s="29">
        <v>13.073333333333332</v>
      </c>
      <c r="F13" s="29">
        <v>14.606666666666667</v>
      </c>
      <c r="G13" s="27"/>
      <c r="H13" s="42"/>
      <c r="I13" s="42"/>
      <c r="J13" s="42"/>
      <c r="K13" s="42"/>
      <c r="L13" s="42"/>
      <c r="R13" s="25"/>
      <c r="S13" s="25"/>
    </row>
    <row r="14" spans="1:19" x14ac:dyDescent="0.3">
      <c r="A14" s="1">
        <v>18</v>
      </c>
      <c r="B14" s="29">
        <v>19.196666666666665</v>
      </c>
      <c r="C14" s="29">
        <v>22.650000000000002</v>
      </c>
      <c r="D14" s="29">
        <v>16.333333333333332</v>
      </c>
      <c r="E14" s="29">
        <v>13.683333333333332</v>
      </c>
      <c r="F14" s="29">
        <v>15.916666666666666</v>
      </c>
      <c r="G14" s="27"/>
      <c r="H14" s="42"/>
      <c r="I14" s="42"/>
      <c r="J14" s="42"/>
      <c r="K14" s="42"/>
      <c r="L14" s="42"/>
    </row>
    <row r="15" spans="1:19" x14ac:dyDescent="0.3">
      <c r="A15" s="1">
        <v>20</v>
      </c>
      <c r="B15" s="26">
        <v>19.16333333333333</v>
      </c>
      <c r="C15" s="26">
        <v>23.793333333333333</v>
      </c>
      <c r="D15" s="26">
        <v>17.069999999999997</v>
      </c>
      <c r="E15" s="26">
        <v>14.096666666666666</v>
      </c>
      <c r="F15" s="26">
        <v>16.723333333333333</v>
      </c>
      <c r="G15" s="27"/>
      <c r="H15" s="42"/>
      <c r="I15" s="42"/>
      <c r="J15" s="42"/>
      <c r="K15" s="42"/>
      <c r="L15" s="42"/>
    </row>
    <row r="16" spans="1:19" x14ac:dyDescent="0.3">
      <c r="A16" s="1">
        <v>22</v>
      </c>
      <c r="B16" s="26">
        <v>18.856666666666666</v>
      </c>
      <c r="C16" s="26">
        <v>23.573333333333334</v>
      </c>
      <c r="D16" s="26">
        <v>16.52</v>
      </c>
      <c r="E16" s="26">
        <v>13.893333333333333</v>
      </c>
      <c r="F16" s="26">
        <v>16.47</v>
      </c>
      <c r="G16" s="27"/>
      <c r="H16" s="42"/>
      <c r="I16" s="42"/>
      <c r="J16" s="42"/>
      <c r="K16" s="42"/>
      <c r="L16" s="42"/>
    </row>
    <row r="17" spans="1:17" x14ac:dyDescent="0.3"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</row>
    <row r="18" spans="1:17" x14ac:dyDescent="0.3">
      <c r="B18" s="79" t="s">
        <v>9</v>
      </c>
      <c r="C18" s="79"/>
      <c r="D18" s="79"/>
      <c r="E18" s="79"/>
      <c r="F18" s="79"/>
      <c r="G18" s="27"/>
      <c r="H18" s="27"/>
      <c r="I18" s="27"/>
      <c r="J18" s="27"/>
      <c r="K18" s="27"/>
      <c r="L18" s="27"/>
    </row>
    <row r="19" spans="1:17" x14ac:dyDescent="0.3">
      <c r="A19" t="s">
        <v>7</v>
      </c>
      <c r="B19" s="9">
        <v>1</v>
      </c>
      <c r="C19" s="35">
        <v>2</v>
      </c>
      <c r="D19" s="35">
        <v>3</v>
      </c>
      <c r="E19" s="35">
        <v>4</v>
      </c>
      <c r="F19" s="35">
        <v>5</v>
      </c>
      <c r="G19" s="35"/>
      <c r="H19" s="35"/>
      <c r="I19" s="35"/>
      <c r="J19" s="35"/>
      <c r="K19" s="35"/>
      <c r="L19" s="27"/>
    </row>
    <row r="20" spans="1:17" x14ac:dyDescent="0.3">
      <c r="A20" s="1" t="s">
        <v>2</v>
      </c>
      <c r="B20" s="28">
        <v>3.0033333333333334</v>
      </c>
      <c r="C20" s="28">
        <v>1.8800000000000001</v>
      </c>
      <c r="D20" s="28">
        <v>3.42</v>
      </c>
      <c r="E20" s="28">
        <v>2.16</v>
      </c>
      <c r="F20" s="28">
        <v>3.6266666666666665</v>
      </c>
      <c r="G20" s="28"/>
      <c r="H20" s="28"/>
      <c r="I20" s="28"/>
      <c r="J20" s="28"/>
      <c r="K20" s="28"/>
      <c r="L20" s="27"/>
      <c r="M20" s="42"/>
      <c r="N20" s="42"/>
      <c r="O20" s="42"/>
      <c r="P20" s="42"/>
      <c r="Q20" s="42"/>
    </row>
    <row r="21" spans="1:17" x14ac:dyDescent="0.3">
      <c r="A21" s="1" t="s">
        <v>3</v>
      </c>
      <c r="B21" s="26">
        <v>6.03</v>
      </c>
      <c r="C21" s="26">
        <v>4.7166666666666677</v>
      </c>
      <c r="D21" s="26">
        <v>4.2733333333333334</v>
      </c>
      <c r="E21" s="26">
        <v>3.1966666666666668</v>
      </c>
      <c r="F21" s="26">
        <v>4.0766666666666662</v>
      </c>
      <c r="G21" s="26"/>
      <c r="H21" s="26"/>
      <c r="I21" s="26"/>
      <c r="J21" s="26"/>
      <c r="K21" s="26"/>
      <c r="L21" s="27"/>
      <c r="M21" s="42"/>
      <c r="N21" s="42"/>
      <c r="O21" s="42"/>
      <c r="P21" s="42"/>
      <c r="Q21" s="42"/>
    </row>
    <row r="22" spans="1:17" x14ac:dyDescent="0.3">
      <c r="A22" s="1" t="s">
        <v>4</v>
      </c>
      <c r="B22" s="25">
        <v>10.673333333333334</v>
      </c>
      <c r="C22" s="25">
        <v>9.17</v>
      </c>
      <c r="D22" s="25">
        <v>9.7266666666666666</v>
      </c>
      <c r="E22" s="25">
        <v>9.7133333333333329</v>
      </c>
      <c r="F22" s="25">
        <v>10.840000000000002</v>
      </c>
      <c r="G22" s="25"/>
      <c r="H22" s="25"/>
      <c r="I22" s="25"/>
      <c r="J22" s="25"/>
      <c r="K22" s="25"/>
      <c r="L22" s="27"/>
      <c r="M22" s="42"/>
      <c r="N22" s="42"/>
      <c r="O22" s="42"/>
      <c r="P22" s="42"/>
      <c r="Q22" s="42"/>
    </row>
    <row r="23" spans="1:17" x14ac:dyDescent="0.3">
      <c r="A23" s="1" t="s">
        <v>5</v>
      </c>
      <c r="B23" s="25">
        <v>10.186666666666666</v>
      </c>
      <c r="C23" s="25">
        <v>9.9266666666666676</v>
      </c>
      <c r="D23" s="25">
        <v>8.8766666666666669</v>
      </c>
      <c r="E23" s="25">
        <v>8.7833333333333332</v>
      </c>
      <c r="F23" s="25">
        <v>10.493333333333332</v>
      </c>
      <c r="G23" s="27"/>
      <c r="H23" s="27"/>
      <c r="I23" s="27"/>
      <c r="J23" s="27"/>
      <c r="K23" s="27"/>
      <c r="L23" s="27"/>
    </row>
    <row r="24" spans="1:17" x14ac:dyDescent="0.3">
      <c r="A24" s="1" t="s">
        <v>6</v>
      </c>
      <c r="B24" s="25">
        <v>2.8200000000000003</v>
      </c>
      <c r="C24" s="25">
        <v>1.82</v>
      </c>
      <c r="D24" s="25">
        <v>3.3166666666666664</v>
      </c>
      <c r="E24" s="25">
        <v>2.1233333333333331</v>
      </c>
      <c r="F24" s="25">
        <v>3.6466666666666669</v>
      </c>
      <c r="G24" s="27"/>
      <c r="H24" s="27"/>
      <c r="I24" s="27"/>
      <c r="J24" s="27"/>
      <c r="K24" s="27"/>
      <c r="L24" s="27"/>
    </row>
    <row r="25" spans="1:17" x14ac:dyDescent="0.3">
      <c r="A25" s="1">
        <v>10</v>
      </c>
      <c r="B25" s="28">
        <v>3.1066666666666669</v>
      </c>
      <c r="C25" s="28">
        <v>2.4333333333333336</v>
      </c>
      <c r="D25" s="28">
        <v>3.5700000000000003</v>
      </c>
      <c r="E25" s="28">
        <v>2.2866666666666666</v>
      </c>
      <c r="F25" s="28">
        <v>3.83</v>
      </c>
      <c r="G25" s="27"/>
      <c r="H25" s="42"/>
      <c r="I25" s="42"/>
      <c r="J25" s="42"/>
      <c r="K25" s="42"/>
      <c r="L25" s="42"/>
    </row>
    <row r="26" spans="1:17" x14ac:dyDescent="0.3">
      <c r="A26" s="1">
        <v>12</v>
      </c>
      <c r="B26" s="28">
        <v>6.5</v>
      </c>
      <c r="C26" s="28">
        <v>5.0600000000000005</v>
      </c>
      <c r="D26" s="28">
        <v>4.4333333333333336</v>
      </c>
      <c r="E26" s="28">
        <v>3.1766666666666672</v>
      </c>
      <c r="F26" s="28">
        <v>4.1966666666666663</v>
      </c>
      <c r="G26" s="27"/>
      <c r="H26" s="42"/>
      <c r="I26" s="42"/>
      <c r="J26" s="42"/>
      <c r="K26" s="42"/>
      <c r="L26" s="42"/>
    </row>
    <row r="27" spans="1:17" x14ac:dyDescent="0.3">
      <c r="A27" s="1">
        <v>14</v>
      </c>
      <c r="B27" s="29">
        <v>8.7633333333333336</v>
      </c>
      <c r="C27" s="29">
        <v>6.9899999999999993</v>
      </c>
      <c r="D27" s="29">
        <v>5.4866666666666672</v>
      </c>
      <c r="E27" s="29">
        <v>5.0466666666666669</v>
      </c>
      <c r="F27" s="29">
        <v>4.7499999999999991</v>
      </c>
      <c r="G27" s="27"/>
      <c r="H27" s="42"/>
      <c r="I27" s="42"/>
      <c r="J27" s="42"/>
      <c r="K27" s="42"/>
      <c r="L27" s="42"/>
    </row>
    <row r="28" spans="1:17" x14ac:dyDescent="0.3">
      <c r="A28" s="1">
        <v>16</v>
      </c>
      <c r="B28" s="29">
        <v>9.7966666666666669</v>
      </c>
      <c r="C28" s="29">
        <v>9.2266666666666666</v>
      </c>
      <c r="D28" s="29">
        <v>8.32</v>
      </c>
      <c r="E28" s="29">
        <v>8.59</v>
      </c>
      <c r="F28" s="29">
        <v>10.106666666666667</v>
      </c>
      <c r="G28" s="27"/>
      <c r="H28" s="42"/>
      <c r="I28" s="42"/>
      <c r="J28" s="42"/>
      <c r="K28" s="42"/>
      <c r="L28" s="42"/>
    </row>
    <row r="29" spans="1:17" x14ac:dyDescent="0.3">
      <c r="A29" s="1">
        <v>18</v>
      </c>
      <c r="B29" s="29">
        <v>9.8533333333333317</v>
      </c>
      <c r="C29" s="29">
        <v>9.6833333333333318</v>
      </c>
      <c r="D29" s="29">
        <v>8.5266666666666673</v>
      </c>
      <c r="E29" s="29">
        <v>8.7000000000000011</v>
      </c>
      <c r="F29" s="29">
        <v>10.623333333333333</v>
      </c>
      <c r="G29" s="27"/>
      <c r="H29" s="42"/>
      <c r="I29" s="42"/>
      <c r="J29" s="42"/>
      <c r="K29" s="42"/>
      <c r="L29" s="42"/>
    </row>
    <row r="30" spans="1:17" x14ac:dyDescent="0.3">
      <c r="A30" s="1">
        <v>20</v>
      </c>
      <c r="B30" s="26">
        <v>9.8333333333333339</v>
      </c>
      <c r="C30" s="26">
        <v>9.8333333333333339</v>
      </c>
      <c r="D30" s="26">
        <v>8.5466666666666669</v>
      </c>
      <c r="E30" s="26">
        <v>8.7433333333333341</v>
      </c>
      <c r="F30" s="26">
        <v>10.696666666666665</v>
      </c>
      <c r="H30" s="42"/>
      <c r="I30" s="42"/>
      <c r="J30" s="42"/>
      <c r="K30" s="42"/>
      <c r="L30" s="42"/>
    </row>
    <row r="31" spans="1:17" x14ac:dyDescent="0.3">
      <c r="A31" s="1">
        <v>22</v>
      </c>
      <c r="B31" s="26">
        <v>9.5166666666666675</v>
      </c>
      <c r="C31" s="26">
        <v>9.9766666666666666</v>
      </c>
      <c r="D31" s="26">
        <v>8.5</v>
      </c>
      <c r="E31" s="26">
        <v>8.7233333333333345</v>
      </c>
      <c r="F31" s="26">
        <v>10.770000000000001</v>
      </c>
      <c r="H31" s="42"/>
      <c r="I31" s="42"/>
      <c r="J31" s="42"/>
      <c r="K31" s="42"/>
      <c r="L31" s="42"/>
    </row>
    <row r="33" spans="1:11" ht="15.6" x14ac:dyDescent="0.3">
      <c r="A33" s="38" t="s">
        <v>103</v>
      </c>
    </row>
    <row r="34" spans="1:11" x14ac:dyDescent="0.3">
      <c r="A34" s="9" t="s">
        <v>104</v>
      </c>
      <c r="B34" s="79" t="s">
        <v>101</v>
      </c>
      <c r="C34" s="79"/>
      <c r="D34" s="79"/>
      <c r="E34" s="35"/>
      <c r="F34" s="79" t="s">
        <v>102</v>
      </c>
      <c r="G34" s="79"/>
      <c r="H34" s="79"/>
      <c r="I34" s="35"/>
      <c r="J34" s="35"/>
      <c r="K34" s="35"/>
    </row>
    <row r="35" spans="1:11" x14ac:dyDescent="0.3">
      <c r="A35" s="1" t="s">
        <v>11</v>
      </c>
      <c r="B35" s="36">
        <v>1.0086107921928815</v>
      </c>
      <c r="C35" s="36">
        <v>1.0193199381761979</v>
      </c>
      <c r="D35" s="36">
        <v>1.039047619047619</v>
      </c>
      <c r="F35" s="36">
        <v>0.91966028894962903</v>
      </c>
      <c r="G35" s="36">
        <v>1.0413685093444469</v>
      </c>
      <c r="H35" s="36">
        <v>1.0676050878001759</v>
      </c>
    </row>
    <row r="36" spans="1:11" x14ac:dyDescent="0.3">
      <c r="A36" s="1" t="s">
        <v>12</v>
      </c>
      <c r="B36" s="36">
        <v>1.0677382319173363</v>
      </c>
      <c r="C36" s="37">
        <v>1.035548686244204</v>
      </c>
      <c r="D36" s="37">
        <v>1.08</v>
      </c>
      <c r="E36" s="35"/>
      <c r="F36" s="36">
        <v>0.96400942014837954</v>
      </c>
      <c r="G36" s="36">
        <v>1.0671214384944037</v>
      </c>
      <c r="H36" s="36">
        <v>1.1074190101001635</v>
      </c>
      <c r="I36" s="35"/>
      <c r="J36" s="35"/>
      <c r="K36" s="35"/>
    </row>
    <row r="37" spans="1:11" x14ac:dyDescent="0.3">
      <c r="A37" s="1" t="s">
        <v>13</v>
      </c>
      <c r="B37" s="36">
        <v>1.8846153846153846</v>
      </c>
      <c r="C37" s="36">
        <v>1.4134466769706338</v>
      </c>
      <c r="D37" s="36">
        <v>1.3942857142857144</v>
      </c>
      <c r="F37" s="36">
        <v>1.7034849668098397</v>
      </c>
      <c r="G37" s="36">
        <v>1.3956056197740556</v>
      </c>
      <c r="H37" s="36">
        <v>1.3023657851724573</v>
      </c>
    </row>
    <row r="38" spans="1:11" x14ac:dyDescent="0.3">
      <c r="A38" s="1" t="s">
        <v>14</v>
      </c>
      <c r="B38" s="36">
        <v>2.7824339839265209</v>
      </c>
      <c r="C38" s="36">
        <v>3.5131375579598147</v>
      </c>
      <c r="D38" s="36">
        <v>2.8361904761904762</v>
      </c>
      <c r="F38" s="36">
        <v>2.463149160484186</v>
      </c>
      <c r="G38" s="36">
        <v>2.3130193179733167</v>
      </c>
      <c r="H38" s="36">
        <v>1.9276120028498385</v>
      </c>
    </row>
    <row r="39" spans="1:11" x14ac:dyDescent="0.3">
      <c r="A39" s="1" t="s">
        <v>15</v>
      </c>
      <c r="B39" s="36">
        <v>2.8191733639494831</v>
      </c>
      <c r="C39" s="36">
        <v>4.6282843894899539</v>
      </c>
      <c r="D39" s="36">
        <v>5.6400000000000006</v>
      </c>
      <c r="F39" s="36">
        <v>2.4229426981647793</v>
      </c>
      <c r="G39" s="36">
        <v>2.7456947393253124</v>
      </c>
      <c r="H39" s="36">
        <v>2.9201678471145383</v>
      </c>
    </row>
    <row r="40" spans="1:11" x14ac:dyDescent="0.3">
      <c r="A40" s="1"/>
    </row>
  </sheetData>
  <mergeCells count="4">
    <mergeCell ref="B34:D34"/>
    <mergeCell ref="F34:H34"/>
    <mergeCell ref="B3:F3"/>
    <mergeCell ref="B18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Views>
    <sheetView tabSelected="1" workbookViewId="0">
      <selection activeCell="I22" sqref="I22"/>
    </sheetView>
  </sheetViews>
  <sheetFormatPr defaultRowHeight="14.4" x14ac:dyDescent="0.3"/>
  <sheetData>
    <row r="1" spans="1:26" x14ac:dyDescent="0.3">
      <c r="A1" s="21" t="s">
        <v>16</v>
      </c>
    </row>
    <row r="2" spans="1:26" x14ac:dyDescent="0.3">
      <c r="C2" s="80" t="s">
        <v>17</v>
      </c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spans="1:26" x14ac:dyDescent="0.3">
      <c r="A3" t="s">
        <v>7</v>
      </c>
      <c r="C3" s="39">
        <v>1</v>
      </c>
      <c r="D3" s="39">
        <v>2</v>
      </c>
      <c r="E3" s="39">
        <v>3</v>
      </c>
      <c r="F3" s="39">
        <v>4</v>
      </c>
      <c r="G3" s="39">
        <v>5</v>
      </c>
      <c r="H3" s="39">
        <v>6</v>
      </c>
      <c r="I3" s="39">
        <v>7</v>
      </c>
      <c r="J3" s="39">
        <v>8</v>
      </c>
      <c r="K3" s="39">
        <v>9</v>
      </c>
      <c r="L3" s="39">
        <v>10</v>
      </c>
      <c r="M3" s="39">
        <v>11</v>
      </c>
      <c r="N3" s="39">
        <v>12</v>
      </c>
      <c r="O3" s="39">
        <v>13</v>
      </c>
      <c r="P3" s="39">
        <v>14</v>
      </c>
      <c r="Q3" s="39">
        <v>15</v>
      </c>
      <c r="R3" s="39">
        <v>16</v>
      </c>
      <c r="S3" s="39">
        <v>17</v>
      </c>
      <c r="T3" s="39">
        <v>18</v>
      </c>
      <c r="U3" s="39">
        <v>19</v>
      </c>
      <c r="V3" s="39">
        <v>20</v>
      </c>
      <c r="W3" s="39">
        <v>21</v>
      </c>
      <c r="X3" s="39">
        <v>22</v>
      </c>
      <c r="Y3" s="39">
        <v>23</v>
      </c>
      <c r="Z3" s="39">
        <v>24</v>
      </c>
    </row>
    <row r="4" spans="1:26" x14ac:dyDescent="0.3">
      <c r="A4" t="s">
        <v>18</v>
      </c>
      <c r="C4" s="43">
        <v>4.5999999999999996</v>
      </c>
      <c r="D4" s="43">
        <v>4.5999999999999996</v>
      </c>
      <c r="E4" s="43">
        <v>5.4</v>
      </c>
      <c r="F4" s="43">
        <v>5.9</v>
      </c>
      <c r="G4" s="43">
        <v>5.9</v>
      </c>
      <c r="H4" s="43">
        <v>4.7</v>
      </c>
      <c r="I4" s="43">
        <v>6.4</v>
      </c>
      <c r="J4" s="43">
        <v>7.1</v>
      </c>
      <c r="K4" s="43">
        <v>5.5</v>
      </c>
      <c r="L4" s="43">
        <v>9.1999999999999993</v>
      </c>
      <c r="M4" s="43">
        <v>6.8</v>
      </c>
      <c r="N4" s="43">
        <v>6</v>
      </c>
      <c r="O4" s="43">
        <v>10.199999999999999</v>
      </c>
      <c r="P4" s="43">
        <v>9</v>
      </c>
      <c r="Q4" s="43">
        <v>8.8000000000000007</v>
      </c>
      <c r="R4" s="43">
        <v>5.6</v>
      </c>
      <c r="S4" s="43">
        <v>5.4</v>
      </c>
      <c r="T4" s="43">
        <v>5.4</v>
      </c>
      <c r="U4" s="43">
        <v>7.9</v>
      </c>
      <c r="V4" s="43">
        <v>9.6999999999999993</v>
      </c>
      <c r="W4" s="43">
        <v>9.5</v>
      </c>
      <c r="X4" s="43">
        <v>9.4</v>
      </c>
      <c r="Y4" s="43">
        <v>9.1999999999999993</v>
      </c>
      <c r="Z4" s="43">
        <v>9</v>
      </c>
    </row>
    <row r="5" spans="1:26" x14ac:dyDescent="0.3">
      <c r="A5" t="s">
        <v>19</v>
      </c>
      <c r="C5" s="43">
        <v>7.6</v>
      </c>
      <c r="D5" s="43">
        <v>8.1</v>
      </c>
      <c r="E5" s="43">
        <v>9.6</v>
      </c>
      <c r="F5" s="43">
        <v>9.6</v>
      </c>
      <c r="G5" s="43">
        <v>9.6999999999999993</v>
      </c>
      <c r="H5" s="43">
        <v>8.9</v>
      </c>
      <c r="I5" s="43">
        <v>12</v>
      </c>
      <c r="J5" s="43">
        <v>12.3</v>
      </c>
      <c r="K5" s="43">
        <v>10.8</v>
      </c>
      <c r="L5" s="43">
        <v>16.7</v>
      </c>
      <c r="M5" s="43">
        <v>14.8</v>
      </c>
      <c r="N5" s="43">
        <v>14.6</v>
      </c>
      <c r="O5" s="43">
        <v>17.100000000000001</v>
      </c>
      <c r="P5" s="43">
        <v>16.899999999999999</v>
      </c>
      <c r="Q5" s="43">
        <v>16.899999999999999</v>
      </c>
      <c r="R5" s="43">
        <v>9.8000000000000007</v>
      </c>
      <c r="S5" s="43">
        <v>10.4</v>
      </c>
      <c r="T5" s="43">
        <v>10.7</v>
      </c>
      <c r="U5" s="43">
        <v>12.5</v>
      </c>
      <c r="V5" s="43">
        <v>14.7</v>
      </c>
      <c r="W5" s="43">
        <v>14.3</v>
      </c>
      <c r="X5" s="43">
        <v>15.6</v>
      </c>
      <c r="Y5" s="43">
        <v>15.6</v>
      </c>
      <c r="Z5" s="43">
        <v>16</v>
      </c>
    </row>
    <row r="6" spans="1:26" x14ac:dyDescent="0.3">
      <c r="A6" t="s">
        <v>20</v>
      </c>
      <c r="C6" s="43">
        <v>22.9</v>
      </c>
      <c r="D6" s="43">
        <v>22.9</v>
      </c>
      <c r="E6" s="43">
        <v>27.2</v>
      </c>
      <c r="F6" s="43">
        <v>29.4</v>
      </c>
      <c r="G6" s="43">
        <v>29.6</v>
      </c>
      <c r="H6" s="43">
        <v>23.3</v>
      </c>
      <c r="I6" s="43">
        <v>32</v>
      </c>
      <c r="J6" s="43">
        <v>35.5</v>
      </c>
      <c r="K6" s="43">
        <v>27.4</v>
      </c>
      <c r="L6" s="43">
        <v>45.8</v>
      </c>
      <c r="M6" s="43">
        <v>34.1</v>
      </c>
      <c r="N6" s="43">
        <v>29.9</v>
      </c>
      <c r="O6" s="43">
        <v>50.9</v>
      </c>
      <c r="P6" s="43">
        <v>44.9</v>
      </c>
      <c r="Q6" s="43">
        <v>44.1</v>
      </c>
      <c r="R6" s="43">
        <v>27.8</v>
      </c>
      <c r="S6" s="43">
        <v>27.2</v>
      </c>
      <c r="T6" s="43">
        <v>27</v>
      </c>
      <c r="U6" s="43">
        <v>39.299999999999997</v>
      </c>
      <c r="V6" s="43">
        <v>48.3</v>
      </c>
      <c r="W6" s="43">
        <v>47.3</v>
      </c>
      <c r="X6" s="43">
        <v>46.9</v>
      </c>
      <c r="Y6" s="43">
        <v>46.2</v>
      </c>
      <c r="Z6" s="43">
        <v>45.2</v>
      </c>
    </row>
    <row r="7" spans="1:26" x14ac:dyDescent="0.3">
      <c r="A7" s="1" t="s">
        <v>5</v>
      </c>
      <c r="C7" s="43">
        <v>14.5</v>
      </c>
      <c r="D7" s="43">
        <v>24.7</v>
      </c>
      <c r="E7" s="43">
        <v>16.55</v>
      </c>
      <c r="F7" s="43">
        <v>9.14</v>
      </c>
      <c r="G7" s="43">
        <v>21.78</v>
      </c>
      <c r="H7" s="43">
        <v>14.75</v>
      </c>
      <c r="I7" s="43">
        <v>17.84</v>
      </c>
      <c r="J7" s="43">
        <v>10.19</v>
      </c>
      <c r="K7" s="43">
        <v>11.78</v>
      </c>
      <c r="L7" s="43">
        <v>8.1</v>
      </c>
      <c r="M7" s="43">
        <v>16.54</v>
      </c>
      <c r="N7" s="43">
        <v>13.89</v>
      </c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x14ac:dyDescent="0.3">
      <c r="A8" s="1" t="s">
        <v>6</v>
      </c>
      <c r="C8" s="43">
        <v>0.24</v>
      </c>
      <c r="D8" s="43">
        <v>7.0000000000000007E-2</v>
      </c>
      <c r="E8" s="43">
        <v>0.09</v>
      </c>
      <c r="F8" s="43">
        <v>0.04</v>
      </c>
      <c r="G8" s="43">
        <v>0.39</v>
      </c>
      <c r="H8" s="43">
        <v>0.36</v>
      </c>
      <c r="I8" s="43">
        <v>0.13</v>
      </c>
      <c r="J8" s="43">
        <v>0.92</v>
      </c>
      <c r="K8" s="43">
        <v>0.11</v>
      </c>
      <c r="L8" s="43">
        <v>0.16</v>
      </c>
      <c r="M8" s="43">
        <v>0.19</v>
      </c>
      <c r="N8" s="43">
        <v>0.25</v>
      </c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x14ac:dyDescent="0.3">
      <c r="A9" s="1">
        <v>10</v>
      </c>
      <c r="C9" s="43">
        <v>8.5500000000000007</v>
      </c>
      <c r="D9" s="43">
        <v>3.55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x14ac:dyDescent="0.3">
      <c r="A10" s="1">
        <v>12</v>
      </c>
      <c r="C10" s="43">
        <v>12.91</v>
      </c>
      <c r="D10" s="43">
        <v>5.2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x14ac:dyDescent="0.3">
      <c r="A11" s="1">
        <v>14</v>
      </c>
      <c r="C11" s="43">
        <v>13.97</v>
      </c>
      <c r="D11" s="43">
        <v>14.67</v>
      </c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x14ac:dyDescent="0.3">
      <c r="A12" s="1">
        <v>16</v>
      </c>
      <c r="C12" s="43">
        <v>15.11</v>
      </c>
      <c r="D12" s="43">
        <v>20.52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x14ac:dyDescent="0.3">
      <c r="A13" s="1">
        <v>18</v>
      </c>
      <c r="C13" s="43">
        <v>12.4</v>
      </c>
      <c r="D13" s="43">
        <v>20.32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x14ac:dyDescent="0.3">
      <c r="A14" s="1">
        <v>20</v>
      </c>
      <c r="C14" s="43">
        <v>14.75</v>
      </c>
      <c r="D14" s="43">
        <v>29.08</v>
      </c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x14ac:dyDescent="0.3">
      <c r="A15" s="1">
        <v>22</v>
      </c>
      <c r="C15" s="43">
        <v>7.71</v>
      </c>
      <c r="D15" s="43">
        <v>13.45</v>
      </c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7" spans="1:4" x14ac:dyDescent="0.3">
      <c r="A17" s="21" t="s">
        <v>10</v>
      </c>
      <c r="B17" s="21"/>
      <c r="C17" s="21"/>
      <c r="D17" s="21"/>
    </row>
    <row r="18" spans="1:4" x14ac:dyDescent="0.3">
      <c r="A18" s="21" t="s">
        <v>67</v>
      </c>
      <c r="B18" s="93" t="s">
        <v>17</v>
      </c>
      <c r="C18" s="93"/>
      <c r="D18" s="93"/>
    </row>
    <row r="19" spans="1:4" x14ac:dyDescent="0.3">
      <c r="A19" s="1">
        <v>0.1</v>
      </c>
      <c r="B19" s="94">
        <v>3.9926321666828501</v>
      </c>
      <c r="C19" s="94">
        <v>4.3276891205613897</v>
      </c>
      <c r="D19" s="94">
        <v>4.0813028933294264</v>
      </c>
    </row>
    <row r="20" spans="1:4" x14ac:dyDescent="0.3">
      <c r="A20" s="1">
        <v>0.3</v>
      </c>
      <c r="B20" s="94">
        <v>7.9080841541377618</v>
      </c>
      <c r="C20" s="94">
        <v>8.0375972275567449</v>
      </c>
      <c r="D20" s="94">
        <v>7.0462018313494585</v>
      </c>
    </row>
    <row r="21" spans="1:4" x14ac:dyDescent="0.3">
      <c r="A21" s="1">
        <v>1</v>
      </c>
      <c r="B21" s="94">
        <v>11.626007230170377</v>
      </c>
      <c r="C21" s="94">
        <v>9.8332534235223203</v>
      </c>
      <c r="D21" s="94">
        <v>9.388457674556161</v>
      </c>
    </row>
    <row r="22" spans="1:4" x14ac:dyDescent="0.3">
      <c r="A22" s="1">
        <v>3</v>
      </c>
      <c r="B22" s="94">
        <v>18.122278572906545</v>
      </c>
      <c r="C22" s="94">
        <v>16.01484735777828</v>
      </c>
      <c r="D22" s="94">
        <v>14.467998968378859</v>
      </c>
    </row>
    <row r="23" spans="1:4" x14ac:dyDescent="0.3">
      <c r="A23" s="1">
        <v>10</v>
      </c>
      <c r="B23" s="94">
        <v>23.315892358437232</v>
      </c>
      <c r="C23" s="94">
        <v>19.478701498068823</v>
      </c>
      <c r="D23" s="94">
        <v>17.374288743149467</v>
      </c>
    </row>
    <row r="24" spans="1:4" x14ac:dyDescent="0.3">
      <c r="A24" s="1">
        <v>30</v>
      </c>
      <c r="B24" s="94">
        <v>26.986652810703731</v>
      </c>
      <c r="C24" s="94">
        <v>22.908139518343546</v>
      </c>
      <c r="D24" s="94">
        <v>19.742446558297381</v>
      </c>
    </row>
    <row r="25" spans="1:4" x14ac:dyDescent="0.3">
      <c r="A25" s="1">
        <v>100</v>
      </c>
      <c r="B25" s="94">
        <v>30.257584503256606</v>
      </c>
      <c r="C25" s="94">
        <v>23.053730675737494</v>
      </c>
      <c r="D25" s="94">
        <v>17.324280510747304</v>
      </c>
    </row>
  </sheetData>
  <mergeCells count="2">
    <mergeCell ref="C2:Z2"/>
    <mergeCell ref="B18:D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1"/>
  <sheetViews>
    <sheetView topLeftCell="A37" workbookViewId="0">
      <selection activeCell="S50" sqref="S50"/>
    </sheetView>
  </sheetViews>
  <sheetFormatPr defaultRowHeight="14.4" x14ac:dyDescent="0.3"/>
  <cols>
    <col min="1" max="1" width="12" customWidth="1"/>
    <col min="2" max="11" width="8.88671875" customWidth="1"/>
    <col min="14" max="14" width="9.5546875" bestFit="1" customWidth="1"/>
    <col min="15" max="15" width="9" bestFit="1" customWidth="1"/>
  </cols>
  <sheetData>
    <row r="1" spans="1:15" x14ac:dyDescent="0.3">
      <c r="A1" t="s">
        <v>21</v>
      </c>
    </row>
    <row r="4" spans="1:15" x14ac:dyDescent="0.3">
      <c r="A4" s="22" t="s">
        <v>83</v>
      </c>
      <c r="B4" s="81" t="s">
        <v>71</v>
      </c>
      <c r="C4" s="82"/>
      <c r="D4" s="82"/>
      <c r="E4" s="82"/>
      <c r="F4" s="82"/>
      <c r="G4" s="82"/>
      <c r="H4" s="82"/>
      <c r="I4" s="82"/>
      <c r="J4" s="82"/>
      <c r="K4" s="83"/>
    </row>
    <row r="5" spans="1:15" x14ac:dyDescent="0.3">
      <c r="A5" t="s">
        <v>64</v>
      </c>
      <c r="B5" t="s">
        <v>88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s="23" t="s">
        <v>94</v>
      </c>
      <c r="I5" s="23" t="s">
        <v>95</v>
      </c>
      <c r="J5" s="23" t="s">
        <v>96</v>
      </c>
      <c r="K5" s="23" t="s">
        <v>97</v>
      </c>
    </row>
    <row r="6" spans="1:15" x14ac:dyDescent="0.3">
      <c r="A6">
        <v>200</v>
      </c>
      <c r="B6" s="24">
        <v>1.149579831932773</v>
      </c>
      <c r="C6" s="24">
        <v>1.2504201680672267</v>
      </c>
      <c r="D6" s="24">
        <v>1.1675977653631282</v>
      </c>
      <c r="E6" s="24">
        <v>1.5139664804469273</v>
      </c>
      <c r="F6" s="24">
        <v>1.696763202725724</v>
      </c>
      <c r="G6" s="24">
        <v>2.0238500851788759</v>
      </c>
      <c r="H6" s="24">
        <v>1.4385964912280702</v>
      </c>
      <c r="I6" s="24">
        <v>1.6081871345029242</v>
      </c>
      <c r="J6" s="24">
        <v>1.6467065868263473</v>
      </c>
      <c r="K6" s="24">
        <v>1.5988023952095809</v>
      </c>
    </row>
    <row r="7" spans="1:15" x14ac:dyDescent="0.3">
      <c r="A7">
        <v>40</v>
      </c>
      <c r="B7" s="24">
        <v>3.5428571428571427</v>
      </c>
      <c r="C7" s="24">
        <v>4.2957983193277309</v>
      </c>
      <c r="D7" s="24">
        <v>3.7206703910614523</v>
      </c>
      <c r="E7" s="24">
        <v>3.8212290502793294</v>
      </c>
      <c r="F7" s="24">
        <v>4.0204429301533224</v>
      </c>
      <c r="G7" s="24">
        <v>4.9335604770017039</v>
      </c>
      <c r="H7" s="24">
        <v>3.2982456140350878</v>
      </c>
      <c r="I7" s="24">
        <v>4.0994152046783627</v>
      </c>
      <c r="J7" s="24">
        <v>4.2395209580838316</v>
      </c>
      <c r="K7" s="24">
        <v>5.6287425149700594</v>
      </c>
    </row>
    <row r="8" spans="1:15" x14ac:dyDescent="0.3">
      <c r="A8">
        <v>8</v>
      </c>
      <c r="B8" s="24">
        <v>12.134453781512603</v>
      </c>
      <c r="C8" s="24">
        <v>12.168067226890756</v>
      </c>
      <c r="D8" s="24">
        <v>10.335195530726256</v>
      </c>
      <c r="E8" s="24">
        <v>10.949720670391059</v>
      </c>
      <c r="F8" s="24">
        <v>12.122657580919933</v>
      </c>
      <c r="G8" s="24">
        <v>12.674616695059626</v>
      </c>
      <c r="H8" s="24">
        <v>8.6491228070175445</v>
      </c>
      <c r="I8" s="24">
        <v>8.8070175438596507</v>
      </c>
      <c r="J8" s="24">
        <v>10.49700598802395</v>
      </c>
      <c r="K8" s="24">
        <v>11.359281437125748</v>
      </c>
    </row>
    <row r="9" spans="1:15" x14ac:dyDescent="0.3">
      <c r="A9">
        <v>1.6</v>
      </c>
      <c r="B9" s="24">
        <v>13.67394957983193</v>
      </c>
      <c r="C9" s="24">
        <v>13.465546218487393</v>
      </c>
      <c r="D9" s="24">
        <v>12.368715083798881</v>
      </c>
      <c r="E9" s="24">
        <v>12.58659217877095</v>
      </c>
      <c r="F9" s="24">
        <v>15.059625212947189</v>
      </c>
      <c r="G9" s="24">
        <v>15.1618398637138</v>
      </c>
      <c r="H9" s="24">
        <v>10.947368421052634</v>
      </c>
      <c r="I9" s="24">
        <v>10.964912280701755</v>
      </c>
      <c r="J9" s="24">
        <v>13.425149700598801</v>
      </c>
      <c r="K9" s="24">
        <v>14</v>
      </c>
    </row>
    <row r="10" spans="1:15" x14ac:dyDescent="0.3">
      <c r="A10">
        <v>0.32</v>
      </c>
      <c r="B10" s="24">
        <v>12.900840336134452</v>
      </c>
      <c r="C10" s="24">
        <v>13.499159663865544</v>
      </c>
      <c r="D10" s="24">
        <v>10.251396648044691</v>
      </c>
      <c r="E10" s="24">
        <v>11.083798882681563</v>
      </c>
      <c r="F10" s="24">
        <v>12.885860306643954</v>
      </c>
      <c r="G10" s="24">
        <v>13.158432708688247</v>
      </c>
      <c r="H10" s="24">
        <v>9.9883040935672529</v>
      </c>
      <c r="I10" s="24">
        <v>9.3157894736842106</v>
      </c>
      <c r="J10" s="24">
        <v>12.059880239520956</v>
      </c>
      <c r="K10" s="24">
        <v>12.323353293413172</v>
      </c>
    </row>
    <row r="11" spans="1:15" x14ac:dyDescent="0.3">
      <c r="A11">
        <v>6.4000000000000001E-2</v>
      </c>
      <c r="B11" s="24">
        <v>5.1226890756302517</v>
      </c>
      <c r="C11" s="24">
        <v>5.7411764705882344</v>
      </c>
      <c r="D11" s="24">
        <v>4.4134078212290504</v>
      </c>
      <c r="E11" s="24">
        <v>4.6983240223463678</v>
      </c>
      <c r="F11" s="24">
        <v>4.8722316865417374</v>
      </c>
      <c r="G11" s="24">
        <v>4.9131175468483814</v>
      </c>
      <c r="H11" s="24">
        <v>3.7426900584795324</v>
      </c>
      <c r="I11" s="24">
        <v>3.7134502923976611</v>
      </c>
      <c r="J11" s="24">
        <v>4.2814371257485027</v>
      </c>
      <c r="K11" s="24">
        <v>4.7305389221556888</v>
      </c>
    </row>
    <row r="12" spans="1:15" x14ac:dyDescent="0.3">
      <c r="A12">
        <v>1.2800000000000001E-2</v>
      </c>
      <c r="B12" s="24">
        <v>3.1193277310924366</v>
      </c>
      <c r="C12" s="24">
        <v>3.267226890756302</v>
      </c>
      <c r="D12" s="24">
        <v>2.1396648044692737</v>
      </c>
      <c r="E12" s="24">
        <v>2.6256983240223457</v>
      </c>
      <c r="F12" s="24">
        <v>3.2981260647359454</v>
      </c>
      <c r="G12" s="24">
        <v>3.3867120954003407</v>
      </c>
      <c r="H12" s="24">
        <v>2.4444444444444446</v>
      </c>
      <c r="I12" s="24">
        <v>2.4269005847953218</v>
      </c>
      <c r="J12" s="24">
        <v>3.0778443113772456</v>
      </c>
      <c r="K12" s="24">
        <v>3.2215568862275448</v>
      </c>
    </row>
    <row r="13" spans="1:15" x14ac:dyDescent="0.3">
      <c r="A13">
        <v>2.5600000000000002E-3</v>
      </c>
      <c r="B13" s="24">
        <v>1.3176470588235292</v>
      </c>
      <c r="C13" s="24">
        <v>1.633613445378151</v>
      </c>
      <c r="D13" s="24">
        <v>1.2737430167597765</v>
      </c>
      <c r="E13" s="24">
        <v>1.8044692737430166</v>
      </c>
      <c r="F13" s="24">
        <v>1.8671209540034075</v>
      </c>
      <c r="G13" s="24">
        <v>2.2759795570698471</v>
      </c>
      <c r="H13" s="24">
        <v>1.3567251461988306</v>
      </c>
      <c r="I13" s="24">
        <v>1.6081871345029242</v>
      </c>
      <c r="J13" s="24">
        <v>1.6646706586826348</v>
      </c>
      <c r="K13" s="24">
        <v>2.1077844311377243</v>
      </c>
    </row>
    <row r="14" spans="1:15" x14ac:dyDescent="0.3">
      <c r="N14" s="15"/>
    </row>
    <row r="15" spans="1:15" x14ac:dyDescent="0.3">
      <c r="N15" s="15"/>
    </row>
    <row r="16" spans="1:15" x14ac:dyDescent="0.3">
      <c r="A16" s="9" t="s">
        <v>22</v>
      </c>
      <c r="B16" s="84" t="s">
        <v>72</v>
      </c>
      <c r="C16" s="84"/>
      <c r="D16" s="84"/>
      <c r="E16" s="84"/>
      <c r="F16" s="84"/>
      <c r="G16" s="84"/>
      <c r="H16" s="9"/>
      <c r="I16" s="9" t="s">
        <v>77</v>
      </c>
      <c r="J16" s="84" t="s">
        <v>82</v>
      </c>
      <c r="K16" s="84"/>
      <c r="L16" s="84"/>
      <c r="M16" s="84"/>
      <c r="N16" s="84"/>
      <c r="O16" s="84"/>
    </row>
    <row r="17" spans="1:23" x14ac:dyDescent="0.3">
      <c r="A17" t="s">
        <v>67</v>
      </c>
      <c r="B17" s="39">
        <v>1</v>
      </c>
      <c r="C17" s="39">
        <v>2</v>
      </c>
      <c r="D17" s="39">
        <v>3</v>
      </c>
      <c r="E17" s="39">
        <v>4</v>
      </c>
      <c r="F17" s="39" t="s">
        <v>63</v>
      </c>
      <c r="G17" s="39" t="s">
        <v>86</v>
      </c>
      <c r="I17" t="s">
        <v>67</v>
      </c>
      <c r="J17" s="39">
        <v>1</v>
      </c>
      <c r="K17" s="39">
        <v>2</v>
      </c>
      <c r="L17" s="39">
        <v>3</v>
      </c>
      <c r="M17" s="39">
        <v>4</v>
      </c>
      <c r="N17" s="39" t="s">
        <v>63</v>
      </c>
      <c r="O17" s="39" t="s">
        <v>86</v>
      </c>
    </row>
    <row r="18" spans="1:23" x14ac:dyDescent="0.3">
      <c r="A18">
        <v>10</v>
      </c>
      <c r="B18" s="14">
        <v>36.724890829694317</v>
      </c>
      <c r="C18" s="14">
        <v>47.336244541484717</v>
      </c>
      <c r="D18" s="14">
        <v>31.014754591990368</v>
      </c>
      <c r="E18" s="14">
        <v>24.811803673592291</v>
      </c>
      <c r="F18" s="14">
        <v>34.971923409190424</v>
      </c>
      <c r="G18" s="14">
        <v>9.5714253541354122</v>
      </c>
      <c r="I18">
        <v>10</v>
      </c>
      <c r="J18" s="14">
        <v>11.921397379912664</v>
      </c>
      <c r="K18" s="14">
        <v>12.270742358078603</v>
      </c>
      <c r="L18" s="14">
        <v>12.225233363444747</v>
      </c>
      <c r="M18" s="14">
        <v>13.128575730201748</v>
      </c>
      <c r="N18" s="14">
        <v>12.38648720790944</v>
      </c>
      <c r="O18" s="14">
        <v>0.5184604117452164</v>
      </c>
    </row>
    <row r="19" spans="1:23" x14ac:dyDescent="0.3">
      <c r="A19" s="16">
        <v>3.3333333333333335</v>
      </c>
      <c r="B19" s="14">
        <v>85.283842794759835</v>
      </c>
      <c r="C19" s="14">
        <v>81.441048034934497</v>
      </c>
      <c r="D19" s="14">
        <v>75.700090334236677</v>
      </c>
      <c r="E19" s="14">
        <v>80.216802168021701</v>
      </c>
      <c r="F19" s="14">
        <v>80.660445832988188</v>
      </c>
      <c r="G19" s="14">
        <v>3.9491385406297566</v>
      </c>
      <c r="I19" s="16">
        <v>3.3333333333333335</v>
      </c>
      <c r="J19" s="14">
        <v>9.0393013100436672</v>
      </c>
      <c r="K19" s="14">
        <v>9.0393013100436672</v>
      </c>
      <c r="L19" s="14">
        <v>11.321890996687745</v>
      </c>
      <c r="M19" s="14">
        <v>11.382113821138212</v>
      </c>
      <c r="N19" s="14">
        <v>10.195651859478323</v>
      </c>
      <c r="O19" s="14">
        <v>1.3354649336471738</v>
      </c>
    </row>
    <row r="20" spans="1:23" x14ac:dyDescent="0.3">
      <c r="A20" s="16">
        <v>1.1111111111111112</v>
      </c>
      <c r="B20" s="14">
        <v>91.353711790393021</v>
      </c>
      <c r="C20" s="14">
        <v>94.148471615720538</v>
      </c>
      <c r="D20" s="14">
        <v>90.033122553447768</v>
      </c>
      <c r="E20" s="14">
        <v>89.069557362240303</v>
      </c>
      <c r="F20" s="14">
        <v>91.151215830450397</v>
      </c>
      <c r="G20" s="14">
        <v>2.2066551921009081</v>
      </c>
      <c r="I20" s="16">
        <v>1.1111111111111112</v>
      </c>
      <c r="J20" s="14">
        <v>8.7336244541484707</v>
      </c>
      <c r="K20" s="14">
        <v>9.0393013100436672</v>
      </c>
      <c r="L20" s="14">
        <v>11.924119241192413</v>
      </c>
      <c r="M20" s="14">
        <v>12.165010538994281</v>
      </c>
      <c r="N20" s="14">
        <v>10.465513886094708</v>
      </c>
      <c r="O20" s="14">
        <v>1.8302405827021477</v>
      </c>
    </row>
    <row r="21" spans="1:23" x14ac:dyDescent="0.3">
      <c r="A21" s="16">
        <v>0.37037037037037041</v>
      </c>
      <c r="B21" s="14">
        <v>95.196506550218345</v>
      </c>
      <c r="C21" s="14">
        <v>93.799126637554593</v>
      </c>
      <c r="D21" s="14">
        <v>92.381812707015968</v>
      </c>
      <c r="E21" s="14">
        <v>90.093345377898231</v>
      </c>
      <c r="F21" s="14">
        <v>92.867697818171791</v>
      </c>
      <c r="G21" s="14">
        <v>2.1774622507350063</v>
      </c>
      <c r="I21" s="16">
        <v>0.37037037037037041</v>
      </c>
      <c r="J21" s="14">
        <v>9.7379912663755466</v>
      </c>
      <c r="K21" s="14">
        <v>9.0829694323144103</v>
      </c>
      <c r="L21" s="14">
        <v>11.562782294489612</v>
      </c>
      <c r="M21" s="14">
        <v>11.683227943390547</v>
      </c>
      <c r="N21" s="14">
        <v>10.516742734142529</v>
      </c>
      <c r="O21" s="14">
        <v>1.3060176408698603</v>
      </c>
    </row>
    <row r="22" spans="1:23" x14ac:dyDescent="0.3">
      <c r="A22" s="16">
        <v>0.1234567901234568</v>
      </c>
      <c r="B22" s="14">
        <v>61.004366812227069</v>
      </c>
      <c r="C22" s="14">
        <v>59.78165938864629</v>
      </c>
      <c r="D22" s="14">
        <v>52.574525745257453</v>
      </c>
      <c r="E22" s="14">
        <v>47.816922613670592</v>
      </c>
      <c r="F22" s="14">
        <v>55.294368639950349</v>
      </c>
      <c r="G22" s="14">
        <v>6.219582028788162</v>
      </c>
      <c r="I22" s="16">
        <v>0.1234567901234568</v>
      </c>
      <c r="J22" s="14">
        <v>8.4279475982532759</v>
      </c>
      <c r="K22" s="14">
        <v>8.2096069868995638</v>
      </c>
      <c r="L22" s="14">
        <v>11.683227943390547</v>
      </c>
      <c r="M22" s="14">
        <v>10.840108401084011</v>
      </c>
      <c r="N22" s="14">
        <v>9.7902227324068498</v>
      </c>
      <c r="O22" s="14">
        <v>1.7358828994860025</v>
      </c>
    </row>
    <row r="23" spans="1:23" x14ac:dyDescent="0.3">
      <c r="A23" s="16">
        <v>4.1152263374485597E-2</v>
      </c>
      <c r="B23" s="14">
        <v>21.615720524017465</v>
      </c>
      <c r="C23" s="14">
        <v>21.746724890829693</v>
      </c>
      <c r="D23" s="14">
        <v>35.411020776874437</v>
      </c>
      <c r="E23" s="14">
        <v>31.797651309846437</v>
      </c>
      <c r="F23" s="14">
        <v>27.64277937539201</v>
      </c>
      <c r="G23" s="14">
        <v>7.0402990501417788</v>
      </c>
      <c r="I23" s="16">
        <v>4.1152263374485597E-2</v>
      </c>
      <c r="J23" s="14">
        <v>8.471615720524019</v>
      </c>
      <c r="K23" s="14">
        <v>8.1222707423580793</v>
      </c>
      <c r="L23" s="14">
        <v>10.900331225534478</v>
      </c>
      <c r="M23" s="14">
        <v>11.442336645588679</v>
      </c>
      <c r="N23" s="14">
        <v>9.7341385835013128</v>
      </c>
      <c r="O23" s="14">
        <v>1.6802805137340917</v>
      </c>
    </row>
    <row r="24" spans="1:23" x14ac:dyDescent="0.3">
      <c r="A24" s="16">
        <v>1.3717421124828532E-2</v>
      </c>
      <c r="B24" s="14">
        <v>16.768558951965066</v>
      </c>
      <c r="C24" s="14">
        <v>16.593886462882097</v>
      </c>
      <c r="D24" s="14">
        <v>26.317374284853962</v>
      </c>
      <c r="E24" s="14">
        <v>25.474254742547426</v>
      </c>
      <c r="F24" s="14">
        <v>21.288518610562136</v>
      </c>
      <c r="G24" s="14">
        <v>5.3316471087535557</v>
      </c>
      <c r="I24" s="16">
        <v>1.3717421124828532E-2</v>
      </c>
      <c r="J24" s="14">
        <v>9.2576419213973793</v>
      </c>
      <c r="K24" s="14">
        <v>10.873362445414847</v>
      </c>
      <c r="L24" s="14">
        <v>10.840108401084011</v>
      </c>
      <c r="M24" s="14">
        <v>10.358325805480277</v>
      </c>
      <c r="N24" s="14">
        <v>10.332359643344128</v>
      </c>
      <c r="O24" s="14">
        <v>0.75414084809078241</v>
      </c>
    </row>
    <row r="25" spans="1:23" x14ac:dyDescent="0.3">
      <c r="N25" s="15"/>
    </row>
    <row r="26" spans="1:23" x14ac:dyDescent="0.3">
      <c r="N26" s="15"/>
    </row>
    <row r="28" spans="1:23" x14ac:dyDescent="0.3">
      <c r="A28" s="9" t="s">
        <v>73</v>
      </c>
      <c r="B28" s="84" t="s">
        <v>72</v>
      </c>
      <c r="C28" s="84"/>
      <c r="D28" s="84"/>
      <c r="E28" s="84"/>
      <c r="F28" s="84"/>
      <c r="G28" s="84"/>
      <c r="H28" s="9"/>
      <c r="I28" s="9" t="s">
        <v>68</v>
      </c>
      <c r="J28" s="84" t="s">
        <v>72</v>
      </c>
      <c r="K28" s="84"/>
      <c r="L28" s="84"/>
      <c r="M28" s="84"/>
      <c r="N28" s="84"/>
      <c r="O28" s="84"/>
    </row>
    <row r="29" spans="1:23" x14ac:dyDescent="0.3">
      <c r="A29" t="s">
        <v>67</v>
      </c>
      <c r="B29" s="39">
        <v>1</v>
      </c>
      <c r="C29" s="39">
        <v>2</v>
      </c>
      <c r="D29" s="39">
        <v>3</v>
      </c>
      <c r="E29" s="39">
        <v>4</v>
      </c>
      <c r="F29" s="39" t="s">
        <v>63</v>
      </c>
      <c r="G29" s="39" t="s">
        <v>86</v>
      </c>
      <c r="I29" t="s">
        <v>67</v>
      </c>
      <c r="J29" s="39">
        <v>1</v>
      </c>
      <c r="K29" s="39">
        <v>2</v>
      </c>
      <c r="L29" s="39">
        <v>3</v>
      </c>
      <c r="M29" s="39">
        <v>4</v>
      </c>
      <c r="N29" s="39" t="s">
        <v>63</v>
      </c>
      <c r="O29" s="39" t="s">
        <v>86</v>
      </c>
    </row>
    <row r="30" spans="1:23" x14ac:dyDescent="0.3">
      <c r="A30">
        <v>3</v>
      </c>
      <c r="B30" s="14">
        <v>47.217537942664421</v>
      </c>
      <c r="C30" s="14">
        <v>45.338472657191041</v>
      </c>
      <c r="D30" s="14">
        <v>39.909182643794153</v>
      </c>
      <c r="E30" s="14">
        <v>39.858728557013116</v>
      </c>
      <c r="F30" s="14">
        <v>43.080980450165676</v>
      </c>
      <c r="G30" s="14">
        <v>3.7705254956904977</v>
      </c>
      <c r="H30" s="14"/>
      <c r="I30">
        <v>3</v>
      </c>
      <c r="J30" s="14">
        <v>41.956926349375166</v>
      </c>
      <c r="K30" s="14">
        <v>41.797394310023932</v>
      </c>
      <c r="L30" s="14">
        <v>34.41263045223441</v>
      </c>
      <c r="M30" s="14">
        <v>33.930960663633932</v>
      </c>
      <c r="N30" s="14">
        <v>38.024477943816862</v>
      </c>
      <c r="O30" s="14">
        <v>4.4535145070822928</v>
      </c>
    </row>
    <row r="31" spans="1:23" x14ac:dyDescent="0.3">
      <c r="A31">
        <v>1</v>
      </c>
      <c r="B31" s="14">
        <v>31.510479402553607</v>
      </c>
      <c r="C31" s="14">
        <v>29.149602505420383</v>
      </c>
      <c r="D31" s="14">
        <v>34.359233097880931</v>
      </c>
      <c r="E31" s="14">
        <v>31.231079717457114</v>
      </c>
      <c r="F31" s="14">
        <v>31.56259868082801</v>
      </c>
      <c r="G31" s="14">
        <v>2.1413652846894298</v>
      </c>
      <c r="H31" s="14"/>
      <c r="I31">
        <v>1</v>
      </c>
      <c r="J31" s="14">
        <v>41.05291145971816</v>
      </c>
      <c r="K31" s="14">
        <v>41.159266152618983</v>
      </c>
      <c r="L31" s="14">
        <v>35.375970029435379</v>
      </c>
      <c r="M31" s="14">
        <v>24.190527160824193</v>
      </c>
      <c r="N31" s="14">
        <v>35.444668700649181</v>
      </c>
      <c r="O31" s="14">
        <v>7.9743219604877007</v>
      </c>
      <c r="Q31" s="14"/>
      <c r="T31" s="14"/>
      <c r="U31" s="14"/>
      <c r="V31" s="14"/>
      <c r="W31" s="15"/>
    </row>
    <row r="32" spans="1:23" x14ac:dyDescent="0.3">
      <c r="A32" s="16">
        <v>0.33333333333333331</v>
      </c>
      <c r="B32" s="14">
        <v>21.681522524692845</v>
      </c>
      <c r="C32" s="14">
        <v>19.127920982895692</v>
      </c>
      <c r="D32" s="14">
        <v>22.452068617558023</v>
      </c>
      <c r="E32" s="14">
        <v>21.997981836528758</v>
      </c>
      <c r="F32" s="14">
        <v>21.314873490418833</v>
      </c>
      <c r="G32" s="14">
        <v>1.491871593470204</v>
      </c>
      <c r="H32" s="14"/>
      <c r="I32" s="16">
        <v>0.33333333333333331</v>
      </c>
      <c r="J32" s="14">
        <v>31.32145705929274</v>
      </c>
      <c r="K32" s="14">
        <v>29.088008508375431</v>
      </c>
      <c r="L32" s="14">
        <v>28.097404335028095</v>
      </c>
      <c r="M32" s="14">
        <v>26.652394969226648</v>
      </c>
      <c r="N32" s="14">
        <v>28.789816217980729</v>
      </c>
      <c r="O32" s="14">
        <v>1.9618127503008784</v>
      </c>
      <c r="P32" s="16"/>
      <c r="T32" s="14"/>
      <c r="U32" s="14"/>
      <c r="V32" s="14"/>
      <c r="W32" s="15"/>
    </row>
    <row r="33" spans="1:23" x14ac:dyDescent="0.3">
      <c r="A33" s="16">
        <v>0.1111111111111111</v>
      </c>
      <c r="B33" s="14">
        <v>17.056131052758371</v>
      </c>
      <c r="C33" s="14">
        <v>16.574319441098531</v>
      </c>
      <c r="D33" s="14">
        <v>16.397578203834509</v>
      </c>
      <c r="E33" s="14">
        <v>17.003027245206862</v>
      </c>
      <c r="F33" s="14">
        <v>16.757763985724569</v>
      </c>
      <c r="G33" s="14">
        <v>0.32278097402162137</v>
      </c>
      <c r="H33" s="14"/>
      <c r="I33" s="16">
        <v>0.1111111111111111</v>
      </c>
      <c r="J33" s="14">
        <v>18.452539218293005</v>
      </c>
      <c r="K33" s="14">
        <v>16.591332092528582</v>
      </c>
      <c r="L33" s="14">
        <v>18.89215948621889</v>
      </c>
      <c r="M33" s="14">
        <v>19.427348140219426</v>
      </c>
      <c r="N33" s="14">
        <v>18.340844734314974</v>
      </c>
      <c r="O33" s="14">
        <v>1.2325728846915263</v>
      </c>
      <c r="P33" s="16"/>
      <c r="T33" s="14"/>
      <c r="U33" s="14"/>
      <c r="V33" s="14"/>
      <c r="W33" s="15"/>
    </row>
    <row r="34" spans="1:23" x14ac:dyDescent="0.3">
      <c r="A34" s="16">
        <v>3.7037037037037035E-2</v>
      </c>
      <c r="B34" s="14">
        <v>15.225246928450977</v>
      </c>
      <c r="C34" s="14">
        <v>15.658877378944833</v>
      </c>
      <c r="D34" s="14">
        <v>16.296670030272455</v>
      </c>
      <c r="E34" s="14">
        <v>15.691220988900103</v>
      </c>
      <c r="F34" s="14">
        <v>15.71800383164209</v>
      </c>
      <c r="G34" s="14">
        <v>0.44040783869564831</v>
      </c>
      <c r="H34" s="14"/>
      <c r="I34" s="16">
        <v>3.7037037037037035E-2</v>
      </c>
      <c r="J34" s="14">
        <v>15.102366391917043</v>
      </c>
      <c r="K34" s="14">
        <v>15.04918904546663</v>
      </c>
      <c r="L34" s="14">
        <v>15.734546427615733</v>
      </c>
      <c r="M34" s="14">
        <v>16.055659620016055</v>
      </c>
      <c r="N34" s="14">
        <v>15.485440371253866</v>
      </c>
      <c r="O34" s="14">
        <v>0.49134669086472499</v>
      </c>
      <c r="P34" s="16"/>
      <c r="T34" s="14"/>
      <c r="U34" s="14"/>
      <c r="V34" s="14"/>
      <c r="W34" s="15"/>
    </row>
    <row r="35" spans="1:23" x14ac:dyDescent="0.3">
      <c r="A35" s="16">
        <v>1.2345679012345678E-2</v>
      </c>
      <c r="B35" s="14">
        <v>14.936159961455072</v>
      </c>
      <c r="C35" s="14">
        <v>14.791616477957119</v>
      </c>
      <c r="D35" s="14">
        <v>17.406659939455096</v>
      </c>
      <c r="E35" s="14">
        <v>17.658930373360242</v>
      </c>
      <c r="F35" s="14">
        <v>16.198341688056882</v>
      </c>
      <c r="G35" s="14">
        <v>1.5454590291124926</v>
      </c>
      <c r="H35" s="14"/>
      <c r="I35" s="16">
        <v>1.2345679012345678E-2</v>
      </c>
      <c r="J35" s="14">
        <v>14.942834352565807</v>
      </c>
      <c r="K35" s="14">
        <v>14.73012496676416</v>
      </c>
      <c r="L35" s="14">
        <v>15.573989831415572</v>
      </c>
      <c r="M35" s="14">
        <v>15.948621889215946</v>
      </c>
      <c r="N35" s="14">
        <v>15.298892759990373</v>
      </c>
      <c r="O35" s="14">
        <v>0.56216863785999216</v>
      </c>
      <c r="P35" s="16"/>
      <c r="T35" s="14"/>
      <c r="U35" s="14"/>
      <c r="V35" s="14"/>
      <c r="W35" s="15"/>
    </row>
    <row r="36" spans="1:23" x14ac:dyDescent="0.3">
      <c r="A36" s="16">
        <v>4.1152263374485592E-3</v>
      </c>
      <c r="B36" s="14">
        <v>13.779812093471453</v>
      </c>
      <c r="C36" s="14">
        <v>14.068899060467357</v>
      </c>
      <c r="D36" s="14">
        <v>16.296670030272455</v>
      </c>
      <c r="E36" s="14">
        <v>16.700302724520686</v>
      </c>
      <c r="F36" s="14">
        <v>15.211420977182986</v>
      </c>
      <c r="G36" s="14">
        <v>1.4999327419237047</v>
      </c>
      <c r="H36" s="14"/>
      <c r="I36" s="16">
        <v>4.1152263374485592E-3</v>
      </c>
      <c r="J36" s="14">
        <v>14.038819462908801</v>
      </c>
      <c r="K36" s="14">
        <v>13.134804573251794</v>
      </c>
      <c r="L36" s="14">
        <v>17.340112389617339</v>
      </c>
      <c r="M36" s="14">
        <v>15.573989831415572</v>
      </c>
      <c r="N36" s="14">
        <v>15.021931564298377</v>
      </c>
      <c r="O36" s="14">
        <v>1.8444952655043587</v>
      </c>
      <c r="P36" s="16"/>
      <c r="T36" s="14"/>
      <c r="U36" s="14"/>
      <c r="V36" s="14"/>
      <c r="W36" s="15"/>
    </row>
    <row r="37" spans="1:23" x14ac:dyDescent="0.3">
      <c r="A37" s="16">
        <v>1.3717421124828531E-3</v>
      </c>
      <c r="B37" s="14">
        <v>17.297036858588292</v>
      </c>
      <c r="C37" s="14">
        <v>17.63430498675018</v>
      </c>
      <c r="D37" s="14">
        <v>17.608476286579211</v>
      </c>
      <c r="E37" s="14">
        <v>19.223007063572151</v>
      </c>
      <c r="F37" s="14">
        <v>17.94070629887246</v>
      </c>
      <c r="G37" s="14">
        <v>0.86849758100675845</v>
      </c>
      <c r="H37" s="14"/>
      <c r="I37" s="16">
        <v>1.3717421124828531E-3</v>
      </c>
      <c r="J37" s="14">
        <v>17.654879021536825</v>
      </c>
      <c r="K37" s="14">
        <v>17.601701675086414</v>
      </c>
      <c r="L37" s="14">
        <v>17.072518062617075</v>
      </c>
      <c r="M37" s="14">
        <v>17.821782178217823</v>
      </c>
      <c r="N37" s="14">
        <v>17.537720234364535</v>
      </c>
      <c r="O37" s="14">
        <v>0.32399797052491519</v>
      </c>
      <c r="P37" s="16"/>
      <c r="T37" s="14"/>
      <c r="U37" s="14"/>
      <c r="V37" s="14"/>
      <c r="W37" s="15"/>
    </row>
    <row r="38" spans="1:23" x14ac:dyDescent="0.3">
      <c r="Q38" s="16"/>
      <c r="T38" s="14"/>
      <c r="U38" s="14"/>
      <c r="V38" s="14"/>
      <c r="W38" s="15"/>
    </row>
    <row r="39" spans="1:23" x14ac:dyDescent="0.3">
      <c r="A39" s="9" t="s">
        <v>74</v>
      </c>
      <c r="B39" s="84" t="s">
        <v>72</v>
      </c>
      <c r="C39" s="84"/>
      <c r="D39" s="84"/>
      <c r="E39" s="84"/>
      <c r="F39" s="84"/>
      <c r="G39" s="84"/>
      <c r="H39" s="9"/>
      <c r="I39" s="9" t="s">
        <v>69</v>
      </c>
      <c r="J39" s="84" t="s">
        <v>72</v>
      </c>
      <c r="K39" s="84"/>
      <c r="L39" s="84"/>
      <c r="M39" s="84"/>
      <c r="N39" s="84"/>
      <c r="O39" s="84"/>
    </row>
    <row r="40" spans="1:23" x14ac:dyDescent="0.3">
      <c r="A40" t="s">
        <v>67</v>
      </c>
      <c r="B40" s="39">
        <v>1</v>
      </c>
      <c r="C40" s="39">
        <v>2</v>
      </c>
      <c r="D40" s="39">
        <v>3</v>
      </c>
      <c r="E40" s="39">
        <v>4</v>
      </c>
      <c r="F40" s="39" t="s">
        <v>63</v>
      </c>
      <c r="G40" s="39" t="s">
        <v>86</v>
      </c>
      <c r="I40" t="s">
        <v>67</v>
      </c>
      <c r="J40" s="39">
        <v>1</v>
      </c>
      <c r="K40" s="39">
        <v>2</v>
      </c>
      <c r="L40" s="39">
        <v>3</v>
      </c>
      <c r="M40" s="39">
        <v>4</v>
      </c>
      <c r="N40" s="39" t="s">
        <v>63</v>
      </c>
      <c r="O40" s="39" t="s">
        <v>86</v>
      </c>
    </row>
    <row r="41" spans="1:23" x14ac:dyDescent="0.3">
      <c r="A41">
        <v>3</v>
      </c>
      <c r="B41" s="14">
        <v>46.543001686340638</v>
      </c>
      <c r="C41" s="14">
        <v>47.98843652132016</v>
      </c>
      <c r="D41" s="14">
        <v>37.083753784056512</v>
      </c>
      <c r="E41" s="14">
        <v>39.959636730575177</v>
      </c>
      <c r="F41" s="14">
        <v>42.893707180573124</v>
      </c>
      <c r="G41" s="14">
        <v>5.2165743970712901</v>
      </c>
      <c r="H41" s="14"/>
      <c r="I41">
        <v>3</v>
      </c>
      <c r="J41" s="14">
        <v>52.220154214304706</v>
      </c>
      <c r="K41" s="14">
        <v>50.678011167242751</v>
      </c>
      <c r="L41" s="14">
        <v>46.400856301846403</v>
      </c>
      <c r="M41" s="14">
        <v>45.5980733208456</v>
      </c>
      <c r="N41" s="14">
        <v>48.724273751059862</v>
      </c>
      <c r="O41" s="14">
        <v>3.2254027075633722</v>
      </c>
    </row>
    <row r="42" spans="1:23" x14ac:dyDescent="0.3">
      <c r="A42">
        <v>1</v>
      </c>
      <c r="B42" s="14">
        <v>45.434834979523011</v>
      </c>
      <c r="C42" s="14">
        <v>46.783907492170563</v>
      </c>
      <c r="D42" s="14">
        <v>41.069626639757814</v>
      </c>
      <c r="E42" s="14">
        <v>45.660948536831484</v>
      </c>
      <c r="F42" s="14">
        <v>44.737329412070721</v>
      </c>
      <c r="G42" s="14">
        <v>2.5152940032414839</v>
      </c>
      <c r="H42" s="14"/>
      <c r="I42">
        <v>1</v>
      </c>
      <c r="J42" s="14">
        <v>50.943897899494814</v>
      </c>
      <c r="K42" s="14">
        <v>51.582026056899757</v>
      </c>
      <c r="L42" s="14">
        <v>43.350280974043351</v>
      </c>
      <c r="M42" s="14">
        <v>43.831950762643828</v>
      </c>
      <c r="N42" s="14">
        <v>47.427038923270437</v>
      </c>
      <c r="O42" s="14">
        <v>4.4413522489792463</v>
      </c>
      <c r="T42" s="14"/>
      <c r="U42" s="14"/>
      <c r="V42" s="14"/>
      <c r="W42" s="15"/>
    </row>
    <row r="43" spans="1:23" x14ac:dyDescent="0.3">
      <c r="A43" s="16">
        <v>0.33333333333333331</v>
      </c>
      <c r="B43" s="14">
        <v>32.570464948205256</v>
      </c>
      <c r="C43" s="14">
        <v>33.38954468802698</v>
      </c>
      <c r="D43" s="14">
        <v>31.029263370332998</v>
      </c>
      <c r="E43" s="14">
        <v>31.130171543895056</v>
      </c>
      <c r="F43" s="14">
        <v>32.029861137615072</v>
      </c>
      <c r="G43" s="14">
        <v>1.147697563853143</v>
      </c>
      <c r="H43" s="14"/>
      <c r="I43" s="16">
        <v>0.33333333333333331</v>
      </c>
      <c r="J43" s="14">
        <v>44.562616325445354</v>
      </c>
      <c r="K43" s="14">
        <v>45.094389789949481</v>
      </c>
      <c r="L43" s="14">
        <v>37.73080010703773</v>
      </c>
      <c r="M43" s="14">
        <v>38.158951030238157</v>
      </c>
      <c r="N43" s="14">
        <v>41.386689313167679</v>
      </c>
      <c r="O43" s="14">
        <v>3.9840254150557031</v>
      </c>
      <c r="P43" s="16"/>
      <c r="T43" s="14"/>
      <c r="U43" s="14"/>
      <c r="V43" s="14"/>
      <c r="W43" s="15"/>
    </row>
    <row r="44" spans="1:23" x14ac:dyDescent="0.3">
      <c r="A44" s="16">
        <v>0.1111111111111111</v>
      </c>
      <c r="B44" s="14">
        <v>20.525174656709229</v>
      </c>
      <c r="C44" s="14">
        <v>20.284268850879307</v>
      </c>
      <c r="D44" s="14">
        <v>21.442986881937436</v>
      </c>
      <c r="E44" s="14">
        <v>25.782038345105956</v>
      </c>
      <c r="F44" s="14">
        <v>22.008617183657982</v>
      </c>
      <c r="G44" s="14">
        <v>2.5646717660943636</v>
      </c>
      <c r="H44" s="14"/>
      <c r="I44" s="16">
        <v>0.1111111111111111</v>
      </c>
      <c r="J44" s="14">
        <v>26.907737303908537</v>
      </c>
      <c r="K44" s="14">
        <v>24.408402020739164</v>
      </c>
      <c r="L44" s="14">
        <v>24.02997056462403</v>
      </c>
      <c r="M44" s="14">
        <v>25.367942199625368</v>
      </c>
      <c r="N44" s="14">
        <v>25.178513022224273</v>
      </c>
      <c r="O44" s="14">
        <v>1.2830069837606908</v>
      </c>
      <c r="P44" s="16"/>
      <c r="T44" s="14"/>
      <c r="U44" s="14"/>
      <c r="V44" s="14"/>
      <c r="W44" s="15"/>
    </row>
    <row r="45" spans="1:23" x14ac:dyDescent="0.3">
      <c r="A45" s="16">
        <v>3.7037037037037035E-2</v>
      </c>
      <c r="B45" s="14">
        <v>15.658877378944833</v>
      </c>
      <c r="C45" s="14">
        <v>16.333413635268613</v>
      </c>
      <c r="D45" s="14">
        <v>16.902119071644805</v>
      </c>
      <c r="E45" s="14">
        <v>16.902119071644805</v>
      </c>
      <c r="F45" s="14">
        <v>16.449132289375765</v>
      </c>
      <c r="G45" s="14">
        <v>0.59112539002298747</v>
      </c>
      <c r="H45" s="14"/>
      <c r="I45" s="16">
        <v>3.7037037037037035E-2</v>
      </c>
      <c r="J45" s="14">
        <v>18.133475139590534</v>
      </c>
      <c r="K45" s="14">
        <v>17.176282903483116</v>
      </c>
      <c r="L45" s="14">
        <v>18.999197217018999</v>
      </c>
      <c r="M45" s="14">
        <v>18.999197217018999</v>
      </c>
      <c r="N45" s="14">
        <v>18.327038119277912</v>
      </c>
      <c r="O45" s="14">
        <v>0.86896488213210843</v>
      </c>
      <c r="P45" s="16"/>
      <c r="T45" s="14"/>
      <c r="U45" s="14"/>
      <c r="V45" s="14"/>
      <c r="W45" s="15"/>
    </row>
    <row r="46" spans="1:23" x14ac:dyDescent="0.3">
      <c r="A46" s="16">
        <v>1.2345679012345678E-2</v>
      </c>
      <c r="B46" s="14">
        <v>14.454348349795231</v>
      </c>
      <c r="C46" s="14">
        <v>15.177065767284992</v>
      </c>
      <c r="D46" s="14">
        <v>17.103935418768923</v>
      </c>
      <c r="E46" s="14">
        <v>17.003027245206862</v>
      </c>
      <c r="F46" s="14">
        <v>15.934594195264001</v>
      </c>
      <c r="G46" s="14">
        <v>1.3258814880953851</v>
      </c>
      <c r="H46" s="14"/>
      <c r="I46" s="16">
        <v>1.2345679012345678E-2</v>
      </c>
      <c r="J46" s="14">
        <v>15.368253124169103</v>
      </c>
      <c r="K46" s="14">
        <v>15.04918904546663</v>
      </c>
      <c r="L46" s="14">
        <v>16.751404870216753</v>
      </c>
      <c r="M46" s="14">
        <v>17.393631255017393</v>
      </c>
      <c r="N46" s="14">
        <v>16.140619573717469</v>
      </c>
      <c r="O46" s="14">
        <v>1.1151782342268037</v>
      </c>
      <c r="P46" s="16"/>
      <c r="T46" s="14"/>
      <c r="U46" s="14"/>
      <c r="V46" s="14"/>
      <c r="W46" s="15"/>
    </row>
    <row r="47" spans="1:23" x14ac:dyDescent="0.3">
      <c r="A47" s="16">
        <v>4.1152263374485592E-3</v>
      </c>
      <c r="B47" s="14">
        <v>14.068899060467357</v>
      </c>
      <c r="C47" s="14">
        <v>13.876174415803421</v>
      </c>
      <c r="D47" s="14">
        <v>16.296670030272455</v>
      </c>
      <c r="E47" s="14">
        <v>16.246215943491425</v>
      </c>
      <c r="F47" s="14">
        <v>15.121989862508663</v>
      </c>
      <c r="G47" s="14">
        <v>1.3297636559796147</v>
      </c>
      <c r="H47" s="14"/>
      <c r="I47" s="16">
        <v>4.1152263374485592E-3</v>
      </c>
      <c r="J47" s="14">
        <v>14.357883541611272</v>
      </c>
      <c r="K47" s="14">
        <v>13.985642116458388</v>
      </c>
      <c r="L47" s="14">
        <v>15.466952100615465</v>
      </c>
      <c r="M47" s="14">
        <v>15.627508696815626</v>
      </c>
      <c r="N47" s="14">
        <v>14.859496613875187</v>
      </c>
      <c r="O47" s="14">
        <v>0.81118885693262777</v>
      </c>
      <c r="P47" s="16"/>
      <c r="T47" s="14"/>
      <c r="U47" s="14"/>
      <c r="V47" s="14"/>
      <c r="W47" s="15"/>
    </row>
    <row r="48" spans="1:23" x14ac:dyDescent="0.3">
      <c r="A48" s="16">
        <v>1.3717421124828531E-3</v>
      </c>
      <c r="B48" s="14">
        <v>18.067935437244039</v>
      </c>
      <c r="C48" s="14">
        <v>17.923391953746087</v>
      </c>
      <c r="D48" s="14">
        <v>18.46619576185671</v>
      </c>
      <c r="E48" s="14">
        <v>18.062563067608476</v>
      </c>
      <c r="F48" s="14">
        <v>18.130021555113828</v>
      </c>
      <c r="G48" s="14">
        <v>0.23389044658361505</v>
      </c>
      <c r="H48" s="14"/>
      <c r="I48" s="16">
        <v>1.3717421124828531E-3</v>
      </c>
      <c r="J48" s="14">
        <v>17.920765753788888</v>
      </c>
      <c r="K48" s="14">
        <v>18.027120446689711</v>
      </c>
      <c r="L48" s="14">
        <v>17.982338774417983</v>
      </c>
      <c r="M48" s="14">
        <v>18.089376505218091</v>
      </c>
      <c r="N48" s="14">
        <v>18.004900370028668</v>
      </c>
      <c r="O48" s="14">
        <v>7.1221739353653765E-2</v>
      </c>
      <c r="P48" s="16"/>
      <c r="T48" s="14"/>
      <c r="U48" s="14"/>
      <c r="V48" s="14"/>
      <c r="W48" s="15"/>
    </row>
    <row r="49" spans="1:23" x14ac:dyDescent="0.3">
      <c r="Q49" s="16"/>
      <c r="T49" s="14"/>
      <c r="U49" s="14"/>
      <c r="V49" s="14"/>
      <c r="W49" s="15"/>
    </row>
    <row r="50" spans="1:23" x14ac:dyDescent="0.3">
      <c r="A50" s="9" t="s">
        <v>75</v>
      </c>
      <c r="B50" s="84" t="s">
        <v>72</v>
      </c>
      <c r="C50" s="84"/>
      <c r="D50" s="84"/>
      <c r="E50" s="84"/>
      <c r="F50" s="84"/>
      <c r="G50" s="84"/>
      <c r="H50" s="9"/>
      <c r="I50" s="9" t="s">
        <v>70</v>
      </c>
      <c r="J50" s="84" t="s">
        <v>72</v>
      </c>
      <c r="K50" s="84"/>
      <c r="L50" s="84"/>
      <c r="M50" s="84"/>
      <c r="N50" s="84"/>
      <c r="O50" s="84"/>
    </row>
    <row r="51" spans="1:23" x14ac:dyDescent="0.3">
      <c r="A51" t="s">
        <v>67</v>
      </c>
      <c r="B51" s="39">
        <v>1</v>
      </c>
      <c r="C51" s="39">
        <v>2</v>
      </c>
      <c r="D51" s="39">
        <v>3</v>
      </c>
      <c r="E51" s="39">
        <v>4</v>
      </c>
      <c r="F51" s="39" t="s">
        <v>63</v>
      </c>
      <c r="G51" s="39" t="s">
        <v>86</v>
      </c>
      <c r="I51" t="s">
        <v>67</v>
      </c>
      <c r="J51" s="39">
        <v>1</v>
      </c>
      <c r="K51" s="39">
        <v>2</v>
      </c>
      <c r="L51" s="39">
        <v>3</v>
      </c>
      <c r="M51" s="39">
        <v>4</v>
      </c>
      <c r="N51" s="39" t="s">
        <v>63</v>
      </c>
      <c r="O51" s="39" t="s">
        <v>86</v>
      </c>
    </row>
    <row r="52" spans="1:23" x14ac:dyDescent="0.3">
      <c r="A52">
        <v>3</v>
      </c>
      <c r="B52" s="14">
        <v>54.396530956396056</v>
      </c>
      <c r="C52" s="14">
        <v>50.831125030113228</v>
      </c>
      <c r="D52" s="14">
        <v>48.385469223007057</v>
      </c>
      <c r="E52" s="14">
        <v>48.28456104944501</v>
      </c>
      <c r="F52" s="14">
        <v>50.474421564740339</v>
      </c>
      <c r="G52" s="14">
        <v>2.8676000653743832</v>
      </c>
      <c r="H52" s="14"/>
      <c r="I52">
        <v>3</v>
      </c>
      <c r="J52" s="14">
        <v>62.430204732783828</v>
      </c>
      <c r="K52" s="14">
        <v>50.678011167242751</v>
      </c>
      <c r="L52" s="14">
        <v>58.22852555525823</v>
      </c>
      <c r="M52" s="14">
        <v>42.226384800642229</v>
      </c>
      <c r="N52" s="14">
        <v>53.390781563981761</v>
      </c>
      <c r="O52" s="14">
        <v>8.8904033741350776</v>
      </c>
      <c r="Q52" s="14"/>
    </row>
    <row r="53" spans="1:23" x14ac:dyDescent="0.3">
      <c r="A53">
        <v>1</v>
      </c>
      <c r="B53" s="14">
        <v>50.87930619127922</v>
      </c>
      <c r="C53" s="14">
        <v>52.421103348590712</v>
      </c>
      <c r="D53" s="14">
        <v>45.206861755802223</v>
      </c>
      <c r="E53" s="14">
        <v>44.500504540867809</v>
      </c>
      <c r="F53" s="14">
        <v>48.251943959134991</v>
      </c>
      <c r="G53" s="14">
        <v>3.9845846980401638</v>
      </c>
      <c r="H53" s="14"/>
      <c r="I53">
        <v>1</v>
      </c>
      <c r="J53" s="14">
        <v>57.591066205796331</v>
      </c>
      <c r="K53" s="14">
        <v>54.559957458122845</v>
      </c>
      <c r="L53" s="14">
        <v>51.538667380251539</v>
      </c>
      <c r="M53" s="14">
        <v>50.36125234145036</v>
      </c>
      <c r="N53" s="14">
        <v>53.51273584640527</v>
      </c>
      <c r="O53" s="14">
        <v>3.243364827636293</v>
      </c>
      <c r="T53" s="14"/>
      <c r="U53" s="14"/>
      <c r="V53" s="14"/>
      <c r="W53" s="15"/>
    </row>
    <row r="54" spans="1:23" x14ac:dyDescent="0.3">
      <c r="A54" s="16">
        <v>0.33333333333333331</v>
      </c>
      <c r="B54" s="14">
        <v>49.963864129125511</v>
      </c>
      <c r="C54" s="14">
        <v>50.445675740785347</v>
      </c>
      <c r="D54" s="14">
        <v>42.532795156407666</v>
      </c>
      <c r="E54" s="14">
        <v>43.491422805247225</v>
      </c>
      <c r="F54" s="14">
        <v>46.608439457891436</v>
      </c>
      <c r="G54" s="14">
        <v>4.1757205486064413</v>
      </c>
      <c r="H54" s="14"/>
      <c r="I54" s="16">
        <v>0.33333333333333331</v>
      </c>
      <c r="J54" s="14">
        <v>55.676681733581489</v>
      </c>
      <c r="K54" s="14">
        <v>55.783036426482312</v>
      </c>
      <c r="L54" s="14">
        <v>50.735884399250736</v>
      </c>
      <c r="M54" s="14">
        <v>49.719025956649723</v>
      </c>
      <c r="N54" s="14">
        <v>52.97865712899106</v>
      </c>
      <c r="O54" s="14">
        <v>3.2041173983974169</v>
      </c>
      <c r="P54" s="16"/>
      <c r="T54" s="14"/>
      <c r="U54" s="14"/>
      <c r="V54" s="14"/>
      <c r="W54" s="15"/>
    </row>
    <row r="55" spans="1:23" x14ac:dyDescent="0.3">
      <c r="A55" s="16">
        <v>0.1111111111111111</v>
      </c>
      <c r="B55" s="14">
        <v>33.29318236569501</v>
      </c>
      <c r="C55" s="14">
        <v>32.859551915201159</v>
      </c>
      <c r="D55" s="14">
        <v>30.070635721493439</v>
      </c>
      <c r="E55" s="14">
        <v>32.391523713420789</v>
      </c>
      <c r="F55" s="14">
        <v>32.153723428952595</v>
      </c>
      <c r="G55" s="14">
        <v>1.4367050141188451</v>
      </c>
      <c r="H55" s="14"/>
      <c r="I55" s="16">
        <v>0.1111111111111111</v>
      </c>
      <c r="J55" s="14">
        <v>38.500398830098369</v>
      </c>
      <c r="K55" s="14">
        <v>38.553576176548788</v>
      </c>
      <c r="L55" s="14">
        <v>35.857639818035857</v>
      </c>
      <c r="M55" s="14">
        <v>35.322451164035321</v>
      </c>
      <c r="N55" s="14">
        <v>37.058516497179589</v>
      </c>
      <c r="O55" s="14">
        <v>1.7098007433923825</v>
      </c>
      <c r="P55" s="16"/>
      <c r="T55" s="14"/>
      <c r="U55" s="14"/>
      <c r="V55" s="14"/>
      <c r="W55" s="15"/>
    </row>
    <row r="56" spans="1:23" x14ac:dyDescent="0.3">
      <c r="A56" s="16">
        <v>3.7037037037037035E-2</v>
      </c>
      <c r="B56" s="14">
        <v>21.777884847024815</v>
      </c>
      <c r="C56" s="14">
        <v>20.332450012045289</v>
      </c>
      <c r="D56" s="14">
        <v>21.291624621594348</v>
      </c>
      <c r="E56" s="14">
        <v>21.947527749747731</v>
      </c>
      <c r="F56" s="14">
        <v>21.337371807603049</v>
      </c>
      <c r="G56" s="14">
        <v>0.72532811698104716</v>
      </c>
      <c r="H56" s="14"/>
      <c r="I56" s="16">
        <v>3.7037037037037035E-2</v>
      </c>
      <c r="J56" s="14">
        <v>22.866258973677212</v>
      </c>
      <c r="K56" s="14">
        <v>23.238500398830098</v>
      </c>
      <c r="L56" s="14">
        <v>26.224244046026225</v>
      </c>
      <c r="M56" s="14">
        <v>24.45812148782446</v>
      </c>
      <c r="N56" s="14">
        <v>24.196781226589497</v>
      </c>
      <c r="O56" s="14">
        <v>1.5129987691872839</v>
      </c>
      <c r="P56" s="16"/>
      <c r="T56" s="14"/>
      <c r="U56" s="14"/>
      <c r="V56" s="14"/>
      <c r="W56" s="15"/>
    </row>
    <row r="57" spans="1:23" x14ac:dyDescent="0.3">
      <c r="A57" s="16">
        <v>1.2345679012345678E-2</v>
      </c>
      <c r="B57" s="14">
        <v>17.007949891592386</v>
      </c>
      <c r="C57" s="14">
        <v>16.863406408094434</v>
      </c>
      <c r="D57" s="14">
        <v>17.356205852674066</v>
      </c>
      <c r="E57" s="14">
        <v>17.507568113017154</v>
      </c>
      <c r="F57" s="14">
        <v>17.183782566344512</v>
      </c>
      <c r="G57" s="14">
        <v>0.29895645289816086</v>
      </c>
      <c r="H57" s="14"/>
      <c r="I57" s="16">
        <v>1.2345679012345678E-2</v>
      </c>
      <c r="J57" s="14">
        <v>17.814411060888062</v>
      </c>
      <c r="K57" s="14">
        <v>17.016750864131879</v>
      </c>
      <c r="L57" s="14">
        <v>19.534385871019534</v>
      </c>
      <c r="M57" s="14">
        <v>18.410489697618409</v>
      </c>
      <c r="N57" s="14">
        <v>18.194009373414474</v>
      </c>
      <c r="O57" s="14">
        <v>1.0604252861706989</v>
      </c>
      <c r="P57" s="16"/>
      <c r="T57" s="14"/>
      <c r="U57" s="14"/>
      <c r="V57" s="14"/>
      <c r="W57" s="15"/>
    </row>
    <row r="58" spans="1:23" x14ac:dyDescent="0.3">
      <c r="A58" s="16">
        <v>4.1152263374485592E-3</v>
      </c>
      <c r="B58" s="14">
        <v>14.743435316791134</v>
      </c>
      <c r="C58" s="14">
        <v>14.743435316791134</v>
      </c>
      <c r="D58" s="14">
        <v>16.498486377396571</v>
      </c>
      <c r="E58" s="14">
        <v>15.943491422805248</v>
      </c>
      <c r="F58" s="14">
        <v>15.482212108446021</v>
      </c>
      <c r="G58" s="14">
        <v>0.88264267805314256</v>
      </c>
      <c r="H58" s="14"/>
      <c r="I58" s="16">
        <v>4.1152263374485592E-3</v>
      </c>
      <c r="J58" s="14">
        <v>15.155543738367452</v>
      </c>
      <c r="K58" s="14">
        <v>14.783302313214572</v>
      </c>
      <c r="L58" s="14">
        <v>16.430291677816431</v>
      </c>
      <c r="M58" s="14">
        <v>16.109178485416109</v>
      </c>
      <c r="N58" s="14">
        <v>15.619579053703642</v>
      </c>
      <c r="O58" s="14">
        <v>0.77709933363142103</v>
      </c>
      <c r="P58" s="16"/>
      <c r="T58" s="14"/>
      <c r="U58" s="14"/>
      <c r="V58" s="14"/>
      <c r="W58" s="15"/>
    </row>
    <row r="59" spans="1:23" x14ac:dyDescent="0.3">
      <c r="A59" s="16">
        <v>1.3717421124828531E-3</v>
      </c>
      <c r="B59" s="14">
        <v>18.88701517706577</v>
      </c>
      <c r="C59" s="14">
        <v>18.357022404239945</v>
      </c>
      <c r="D59" s="14">
        <v>18.617558022199798</v>
      </c>
      <c r="E59" s="14">
        <v>18.213925327951564</v>
      </c>
      <c r="F59" s="14">
        <v>18.518880232864269</v>
      </c>
      <c r="G59" s="14">
        <v>0.29690407764556276</v>
      </c>
      <c r="H59" s="14"/>
      <c r="I59" s="16">
        <v>1.3717421124828531E-3</v>
      </c>
      <c r="J59" s="14">
        <v>18.665248604094653</v>
      </c>
      <c r="K59" s="14">
        <v>18.027120446689711</v>
      </c>
      <c r="L59" s="14">
        <v>18.356970832218359</v>
      </c>
      <c r="M59" s="14">
        <v>18.571046293818569</v>
      </c>
      <c r="N59" s="14">
        <v>18.405096544205321</v>
      </c>
      <c r="O59" s="14">
        <v>0.28307856866292108</v>
      </c>
      <c r="P59" s="16"/>
      <c r="T59" s="14"/>
      <c r="U59" s="14"/>
      <c r="V59" s="14"/>
      <c r="W59" s="15"/>
    </row>
    <row r="60" spans="1:23" x14ac:dyDescent="0.3">
      <c r="Q60" s="16"/>
      <c r="T60" s="14"/>
      <c r="U60" s="14"/>
      <c r="V60" s="14"/>
      <c r="W60" s="15"/>
    </row>
    <row r="61" spans="1:23" x14ac:dyDescent="0.3">
      <c r="A61" s="9" t="s">
        <v>76</v>
      </c>
      <c r="B61" s="84" t="s">
        <v>72</v>
      </c>
      <c r="C61" s="84"/>
      <c r="D61" s="84"/>
      <c r="E61" s="84"/>
      <c r="F61" s="84"/>
      <c r="G61" s="84"/>
    </row>
    <row r="62" spans="1:23" x14ac:dyDescent="0.3">
      <c r="A62" t="s">
        <v>67</v>
      </c>
      <c r="B62" s="39">
        <v>1</v>
      </c>
      <c r="C62" s="39">
        <v>2</v>
      </c>
      <c r="D62" s="39">
        <v>3</v>
      </c>
      <c r="E62" s="39">
        <v>4</v>
      </c>
      <c r="F62" s="39" t="s">
        <v>63</v>
      </c>
      <c r="G62" s="39" t="s">
        <v>86</v>
      </c>
    </row>
    <row r="63" spans="1:23" x14ac:dyDescent="0.3">
      <c r="A63">
        <v>3</v>
      </c>
      <c r="B63" s="14">
        <v>27.752348831606842</v>
      </c>
      <c r="C63" s="14">
        <v>26.981450252951102</v>
      </c>
      <c r="D63" s="14">
        <v>31.331987891019175</v>
      </c>
      <c r="E63" s="14">
        <v>30.423814328960646</v>
      </c>
      <c r="F63" s="14">
        <v>29.122400326134439</v>
      </c>
      <c r="G63" s="14">
        <v>2.0845993961403728</v>
      </c>
      <c r="S63" s="14"/>
      <c r="T63" s="14"/>
    </row>
    <row r="64" spans="1:23" x14ac:dyDescent="0.3">
      <c r="A64">
        <v>1</v>
      </c>
      <c r="B64" s="14">
        <v>36.569501324981935</v>
      </c>
      <c r="C64" s="14">
        <v>39.990363767766802</v>
      </c>
      <c r="D64" s="14">
        <v>36.377396569122098</v>
      </c>
      <c r="E64" s="14">
        <v>36.781029263370328</v>
      </c>
      <c r="F64" s="14">
        <v>37.429572731310287</v>
      </c>
      <c r="G64" s="14">
        <v>1.715134286527279</v>
      </c>
      <c r="S64" s="14"/>
      <c r="T64" s="14"/>
    </row>
    <row r="65" spans="1:20" x14ac:dyDescent="0.3">
      <c r="A65" s="16">
        <v>0.33333333333333331</v>
      </c>
      <c r="B65" s="14">
        <v>52.324741026258742</v>
      </c>
      <c r="C65" s="14">
        <v>53.529270055408332</v>
      </c>
      <c r="D65" s="14">
        <v>44.500504540867809</v>
      </c>
      <c r="E65" s="14">
        <v>46.064581231079714</v>
      </c>
      <c r="F65" s="14">
        <v>49.104774213403644</v>
      </c>
      <c r="G65" s="14">
        <v>4.486513951797094</v>
      </c>
      <c r="P65" s="16"/>
      <c r="S65" s="14"/>
      <c r="T65" s="14"/>
    </row>
    <row r="66" spans="1:20" x14ac:dyDescent="0.3">
      <c r="A66" s="16">
        <v>0.1111111111111111</v>
      </c>
      <c r="B66" s="14">
        <v>43.55576969404963</v>
      </c>
      <c r="C66" s="14">
        <v>44.037581305709473</v>
      </c>
      <c r="D66" s="14">
        <v>36.93239152371342</v>
      </c>
      <c r="E66" s="14">
        <v>37.991927346115034</v>
      </c>
      <c r="F66" s="14">
        <v>40.629417467396891</v>
      </c>
      <c r="G66" s="14">
        <v>3.6879747410263461</v>
      </c>
      <c r="P66" s="16"/>
      <c r="S66" s="14"/>
      <c r="T66" s="14"/>
    </row>
    <row r="67" spans="1:20" x14ac:dyDescent="0.3">
      <c r="A67" s="16">
        <v>3.7037037037037035E-2</v>
      </c>
      <c r="B67" s="14">
        <v>28.234160443266681</v>
      </c>
      <c r="C67" s="14">
        <v>29.342327150084319</v>
      </c>
      <c r="D67" s="14">
        <v>29.364278506559028</v>
      </c>
      <c r="E67" s="14">
        <v>28.20383451059536</v>
      </c>
      <c r="F67" s="14">
        <v>28.786150152626348</v>
      </c>
      <c r="G67" s="14">
        <v>0.65506981620669136</v>
      </c>
      <c r="P67" s="16"/>
      <c r="S67" s="14"/>
      <c r="T67" s="14"/>
    </row>
    <row r="68" spans="1:20" x14ac:dyDescent="0.3">
      <c r="A68" s="16">
        <v>1.2345679012345678E-2</v>
      </c>
      <c r="B68" s="14">
        <v>18.501565887737893</v>
      </c>
      <c r="C68" s="14">
        <v>19.46518911105758</v>
      </c>
      <c r="D68" s="14">
        <v>20.08072653884965</v>
      </c>
      <c r="E68" s="14">
        <v>21.543895055499494</v>
      </c>
      <c r="F68" s="14">
        <v>19.897844148286154</v>
      </c>
      <c r="G68" s="14">
        <v>1.2753709159867983</v>
      </c>
      <c r="P68" s="16"/>
      <c r="S68" s="14"/>
      <c r="T68" s="14"/>
    </row>
    <row r="69" spans="1:20" x14ac:dyDescent="0.3">
      <c r="A69" s="16">
        <v>4.1152263374485592E-3</v>
      </c>
      <c r="B69" s="14">
        <v>15.03252228378704</v>
      </c>
      <c r="C69" s="14">
        <v>15.225246928450977</v>
      </c>
      <c r="D69" s="14">
        <v>17.457114026236123</v>
      </c>
      <c r="E69" s="14">
        <v>17.457114026236123</v>
      </c>
      <c r="F69" s="14">
        <v>16.292999316177568</v>
      </c>
      <c r="G69" s="14">
        <v>1.3465045645459577</v>
      </c>
      <c r="P69" s="16"/>
      <c r="S69" s="14"/>
      <c r="T69" s="14"/>
    </row>
    <row r="70" spans="1:20" x14ac:dyDescent="0.3">
      <c r="A70" s="16">
        <v>1.3717421124828531E-3</v>
      </c>
      <c r="B70" s="14">
        <v>17.827029631414117</v>
      </c>
      <c r="C70" s="14">
        <v>17.297036858588292</v>
      </c>
      <c r="D70" s="14">
        <v>18.768920282542886</v>
      </c>
      <c r="E70" s="14">
        <v>19.17255297679112</v>
      </c>
      <c r="F70" s="14">
        <v>18.266384937334102</v>
      </c>
      <c r="G70" s="14">
        <v>0.85758402339085216</v>
      </c>
      <c r="P70" s="16"/>
      <c r="S70" s="14"/>
      <c r="T70" s="14"/>
    </row>
    <row r="73" spans="1:20" s="9" customFormat="1" x14ac:dyDescent="0.3"/>
    <row r="85" spans="1:5" x14ac:dyDescent="0.3">
      <c r="B85" s="14"/>
      <c r="C85" s="14"/>
      <c r="D85" s="14"/>
      <c r="E85" s="15"/>
    </row>
    <row r="86" spans="1:5" x14ac:dyDescent="0.3">
      <c r="A86" s="16"/>
      <c r="B86" s="14"/>
      <c r="C86" s="14"/>
      <c r="D86" s="14"/>
      <c r="E86" s="15"/>
    </row>
    <row r="87" spans="1:5" x14ac:dyDescent="0.3">
      <c r="A87" s="16"/>
      <c r="B87" s="14"/>
      <c r="C87" s="14"/>
      <c r="D87" s="14"/>
      <c r="E87" s="15"/>
    </row>
    <row r="88" spans="1:5" x14ac:dyDescent="0.3">
      <c r="A88" s="16"/>
      <c r="B88" s="14"/>
      <c r="C88" s="14"/>
      <c r="D88" s="14"/>
      <c r="E88" s="15"/>
    </row>
    <row r="89" spans="1:5" x14ac:dyDescent="0.3">
      <c r="A89" s="16"/>
      <c r="B89" s="14"/>
      <c r="C89" s="14"/>
      <c r="D89" s="14"/>
      <c r="E89" s="15"/>
    </row>
    <row r="90" spans="1:5" x14ac:dyDescent="0.3">
      <c r="A90" s="16"/>
      <c r="B90" s="14"/>
      <c r="C90" s="14"/>
      <c r="D90" s="14"/>
      <c r="E90" s="15"/>
    </row>
    <row r="91" spans="1:5" x14ac:dyDescent="0.3">
      <c r="A91" s="16"/>
      <c r="B91" s="14"/>
      <c r="C91" s="14"/>
      <c r="D91" s="14"/>
      <c r="E91" s="15"/>
    </row>
  </sheetData>
  <mergeCells count="10">
    <mergeCell ref="B39:G39"/>
    <mergeCell ref="J39:O39"/>
    <mergeCell ref="J50:O50"/>
    <mergeCell ref="B50:G50"/>
    <mergeCell ref="B61:G61"/>
    <mergeCell ref="B4:K4"/>
    <mergeCell ref="B16:G16"/>
    <mergeCell ref="J16:O16"/>
    <mergeCell ref="B28:G28"/>
    <mergeCell ref="J28:O2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"/>
  <sheetViews>
    <sheetView workbookViewId="0">
      <selection activeCell="J51" sqref="J51"/>
    </sheetView>
  </sheetViews>
  <sheetFormatPr defaultRowHeight="14.4" x14ac:dyDescent="0.3"/>
  <cols>
    <col min="1" max="1" width="10.109375" customWidth="1"/>
    <col min="7" max="7" width="10.44140625" customWidth="1"/>
    <col min="13" max="13" width="9.77734375" customWidth="1"/>
  </cols>
  <sheetData>
    <row r="1" spans="1:17" x14ac:dyDescent="0.3">
      <c r="A1" s="9" t="s">
        <v>32</v>
      </c>
    </row>
    <row r="2" spans="1:17" x14ac:dyDescent="0.3">
      <c r="A2" s="8" t="s">
        <v>25</v>
      </c>
      <c r="B2" s="85" t="s">
        <v>45</v>
      </c>
      <c r="C2" s="85"/>
      <c r="D2" s="85"/>
      <c r="E2" s="85"/>
      <c r="G2" s="8" t="s">
        <v>26</v>
      </c>
      <c r="H2" s="85" t="s">
        <v>45</v>
      </c>
      <c r="I2" s="85"/>
      <c r="J2" s="85"/>
      <c r="K2" s="85"/>
      <c r="M2" s="8" t="s">
        <v>27</v>
      </c>
      <c r="N2" s="85" t="s">
        <v>45</v>
      </c>
      <c r="O2" s="85"/>
      <c r="P2" s="85"/>
      <c r="Q2" s="85"/>
    </row>
    <row r="3" spans="1:17" x14ac:dyDescent="0.3">
      <c r="A3" s="6">
        <v>0</v>
      </c>
      <c r="B3" s="5">
        <v>0.752</v>
      </c>
      <c r="C3" s="5">
        <v>0.85899999999999999</v>
      </c>
      <c r="D3" s="5">
        <v>1.069</v>
      </c>
      <c r="E3" s="5">
        <v>1.0740000000000001</v>
      </c>
      <c r="G3" s="6">
        <v>0</v>
      </c>
      <c r="H3" s="5">
        <v>0.80100000000000005</v>
      </c>
      <c r="I3" s="5">
        <v>1.0229999999999999</v>
      </c>
      <c r="J3" s="5">
        <v>1.3440000000000001</v>
      </c>
      <c r="K3" s="5">
        <v>0.81299999999999994</v>
      </c>
      <c r="M3" s="6">
        <v>0</v>
      </c>
      <c r="N3" s="5">
        <v>0.88</v>
      </c>
      <c r="O3" s="5">
        <v>0.89</v>
      </c>
      <c r="P3" s="5">
        <v>0.95799999999999996</v>
      </c>
      <c r="Q3" s="5">
        <v>1.0740000000000001</v>
      </c>
    </row>
    <row r="4" spans="1:17" x14ac:dyDescent="0.3">
      <c r="A4" s="6">
        <v>0.78125</v>
      </c>
      <c r="B4" s="5">
        <v>1.054</v>
      </c>
      <c r="C4" s="5">
        <v>1.1539999999999999</v>
      </c>
      <c r="D4" s="5">
        <v>0.82299999999999995</v>
      </c>
      <c r="E4" s="5">
        <v>1.284</v>
      </c>
      <c r="G4" s="6">
        <v>0.78125</v>
      </c>
      <c r="H4" s="5">
        <v>1.0249999999999999</v>
      </c>
      <c r="I4" s="5">
        <v>1.131</v>
      </c>
      <c r="J4" s="5">
        <v>1.0289999999999999</v>
      </c>
      <c r="K4" s="5">
        <v>1.1200000000000001</v>
      </c>
      <c r="M4" s="6">
        <v>0.78125</v>
      </c>
      <c r="N4" s="5">
        <v>1.127</v>
      </c>
      <c r="O4" s="5">
        <v>0.93700000000000006</v>
      </c>
      <c r="P4" s="5">
        <v>1.21</v>
      </c>
      <c r="Q4" s="5">
        <v>0.90900000000000003</v>
      </c>
    </row>
    <row r="5" spans="1:17" x14ac:dyDescent="0.3">
      <c r="A5" s="6">
        <v>1.5625</v>
      </c>
      <c r="B5" s="5">
        <v>1.071</v>
      </c>
      <c r="C5" s="5">
        <v>0.84499999999999997</v>
      </c>
      <c r="D5" s="5">
        <v>0.99</v>
      </c>
      <c r="E5" s="5">
        <v>0.99199999999999999</v>
      </c>
      <c r="G5" s="6">
        <v>1.5625</v>
      </c>
      <c r="H5" s="5">
        <v>1.214</v>
      </c>
      <c r="I5" s="5">
        <v>1.1879999999999999</v>
      </c>
      <c r="J5" s="5">
        <v>1.1739999999999999</v>
      </c>
      <c r="K5" s="5">
        <v>1.02</v>
      </c>
      <c r="M5" s="6">
        <v>1.5625</v>
      </c>
      <c r="N5" s="5">
        <v>1.18</v>
      </c>
      <c r="O5" s="5">
        <v>1.2150000000000001</v>
      </c>
      <c r="P5" s="5">
        <v>1.294</v>
      </c>
      <c r="Q5" s="5">
        <v>1.101</v>
      </c>
    </row>
    <row r="6" spans="1:17" x14ac:dyDescent="0.3">
      <c r="A6" s="6">
        <v>3.125</v>
      </c>
      <c r="B6" s="5">
        <v>1.0329999999999999</v>
      </c>
      <c r="C6" s="5">
        <v>1.2170000000000001</v>
      </c>
      <c r="D6" s="5">
        <v>1.444</v>
      </c>
      <c r="E6" s="5">
        <v>1.022</v>
      </c>
      <c r="G6" s="6">
        <v>3.125</v>
      </c>
      <c r="H6" s="5">
        <v>1.0880000000000001</v>
      </c>
      <c r="I6" s="5">
        <v>0.97699999999999998</v>
      </c>
      <c r="J6" s="5">
        <v>1.0189999999999999</v>
      </c>
      <c r="K6" s="5">
        <v>1.1339999999999999</v>
      </c>
      <c r="M6" s="6">
        <v>3.125</v>
      </c>
      <c r="N6" s="5">
        <v>1.3220000000000001</v>
      </c>
      <c r="O6" s="5">
        <v>0.755</v>
      </c>
      <c r="P6" s="5">
        <v>1.206</v>
      </c>
      <c r="Q6" s="5">
        <v>1.0860000000000001</v>
      </c>
    </row>
    <row r="7" spans="1:17" x14ac:dyDescent="0.3">
      <c r="A7" s="6">
        <v>6.25</v>
      </c>
      <c r="B7" s="5">
        <v>0.97599999999999998</v>
      </c>
      <c r="C7" s="5">
        <v>1.0760000000000001</v>
      </c>
      <c r="D7" s="5">
        <v>1.1100000000000001</v>
      </c>
      <c r="E7" s="5">
        <v>0.94399999999999995</v>
      </c>
      <c r="G7" s="6">
        <v>6.25</v>
      </c>
      <c r="H7" s="5">
        <v>1.242</v>
      </c>
      <c r="I7" s="5">
        <v>1.129</v>
      </c>
      <c r="J7" s="5">
        <v>1.0549999999999999</v>
      </c>
      <c r="K7" s="5">
        <v>1.0169999999999999</v>
      </c>
      <c r="M7" s="6">
        <v>6.25</v>
      </c>
      <c r="N7" s="5">
        <v>1.0720000000000001</v>
      </c>
      <c r="O7" s="5">
        <v>1.202</v>
      </c>
      <c r="P7" s="5">
        <v>1.073</v>
      </c>
      <c r="Q7" s="5">
        <v>1.079</v>
      </c>
    </row>
    <row r="8" spans="1:17" x14ac:dyDescent="0.3">
      <c r="A8" s="6">
        <v>12.5</v>
      </c>
      <c r="B8" s="5">
        <v>1.1639999999999999</v>
      </c>
      <c r="C8" s="5">
        <v>1.236</v>
      </c>
      <c r="D8" s="5">
        <v>0.78700000000000003</v>
      </c>
      <c r="E8" s="5">
        <v>1.0569999999999999</v>
      </c>
      <c r="G8" s="6">
        <v>12.5</v>
      </c>
      <c r="H8" s="5">
        <v>1.27</v>
      </c>
      <c r="I8" s="5">
        <v>1.351</v>
      </c>
      <c r="J8" s="5">
        <v>1.427</v>
      </c>
      <c r="K8" s="5">
        <v>1.2410000000000001</v>
      </c>
      <c r="M8" s="6">
        <v>12.5</v>
      </c>
      <c r="N8" s="5">
        <v>1.3160000000000001</v>
      </c>
      <c r="O8" s="5">
        <v>0.96499999999999997</v>
      </c>
      <c r="P8" s="5">
        <v>1.296</v>
      </c>
      <c r="Q8" s="5">
        <v>0.998</v>
      </c>
    </row>
    <row r="11" spans="1:17" x14ac:dyDescent="0.3">
      <c r="A11" s="8" t="s">
        <v>28</v>
      </c>
      <c r="B11" s="85" t="s">
        <v>45</v>
      </c>
      <c r="C11" s="85"/>
      <c r="D11" s="85"/>
      <c r="E11" s="85"/>
      <c r="G11" s="8" t="s">
        <v>29</v>
      </c>
      <c r="H11" s="85" t="s">
        <v>45</v>
      </c>
      <c r="I11" s="85"/>
      <c r="J11" s="85"/>
      <c r="K11" s="85"/>
      <c r="M11" s="8" t="s">
        <v>30</v>
      </c>
      <c r="N11" s="85" t="s">
        <v>45</v>
      </c>
      <c r="O11" s="85"/>
      <c r="P11" s="85"/>
      <c r="Q11" s="85"/>
    </row>
    <row r="12" spans="1:17" x14ac:dyDescent="0.3">
      <c r="A12" s="6">
        <v>0</v>
      </c>
      <c r="B12" s="5">
        <v>0.90600000000000003</v>
      </c>
      <c r="C12" s="5">
        <v>0.86199999999999999</v>
      </c>
      <c r="D12" s="5">
        <v>1.004</v>
      </c>
      <c r="E12" s="5">
        <v>0.93899999999999995</v>
      </c>
      <c r="G12" s="6">
        <v>0</v>
      </c>
      <c r="H12" s="5">
        <v>1.0640000000000001</v>
      </c>
      <c r="I12" s="5">
        <v>0.91</v>
      </c>
      <c r="J12" s="5">
        <v>0.78300000000000003</v>
      </c>
      <c r="K12" s="5">
        <v>0.83</v>
      </c>
      <c r="M12" s="6">
        <v>0</v>
      </c>
      <c r="N12" s="5">
        <v>0.89</v>
      </c>
      <c r="O12" s="5">
        <v>0.78200000000000003</v>
      </c>
      <c r="P12" s="5">
        <v>0.86399999999999999</v>
      </c>
      <c r="Q12" s="5">
        <v>0.92300000000000004</v>
      </c>
    </row>
    <row r="13" spans="1:17" x14ac:dyDescent="0.3">
      <c r="A13" s="6">
        <v>0.78125</v>
      </c>
      <c r="B13" s="5">
        <v>1.258</v>
      </c>
      <c r="C13" s="5">
        <v>1.0009999999999999</v>
      </c>
      <c r="D13" s="5">
        <v>1.2150000000000001</v>
      </c>
      <c r="E13" s="5">
        <v>1.0349999999999999</v>
      </c>
      <c r="G13" s="6">
        <v>0.78125</v>
      </c>
      <c r="H13" s="5">
        <v>1.0149999999999999</v>
      </c>
      <c r="I13" s="5">
        <v>0.84499999999999997</v>
      </c>
      <c r="J13" s="5">
        <v>0.94199999999999995</v>
      </c>
      <c r="K13" s="5">
        <v>1.246</v>
      </c>
      <c r="M13" s="6">
        <v>0.78125</v>
      </c>
      <c r="N13" s="5">
        <v>1.169</v>
      </c>
      <c r="O13" s="5">
        <v>1.036</v>
      </c>
      <c r="P13" s="5">
        <v>0.82199999999999995</v>
      </c>
      <c r="Q13" s="5">
        <v>0.93</v>
      </c>
    </row>
    <row r="14" spans="1:17" x14ac:dyDescent="0.3">
      <c r="A14" s="6">
        <v>1.5625</v>
      </c>
      <c r="B14" s="5">
        <v>0.83499999999999996</v>
      </c>
      <c r="C14" s="5">
        <v>0.93400000000000005</v>
      </c>
      <c r="D14" s="5">
        <v>1.042</v>
      </c>
      <c r="E14" s="5">
        <v>1.2709999999999999</v>
      </c>
      <c r="G14" s="6">
        <v>1.5625</v>
      </c>
      <c r="H14" s="5">
        <v>0.95099999999999996</v>
      </c>
      <c r="I14" s="5">
        <v>1.099</v>
      </c>
      <c r="J14" s="5">
        <v>0.93600000000000005</v>
      </c>
      <c r="K14" s="5">
        <v>1.284</v>
      </c>
      <c r="M14" s="6">
        <v>1.5625</v>
      </c>
      <c r="N14" s="5">
        <v>1.232</v>
      </c>
      <c r="O14" s="5">
        <v>0.88200000000000001</v>
      </c>
      <c r="P14" s="5">
        <v>0.89600000000000002</v>
      </c>
      <c r="Q14" s="5">
        <v>0.996</v>
      </c>
    </row>
    <row r="15" spans="1:17" x14ac:dyDescent="0.3">
      <c r="A15" s="6">
        <v>3.125</v>
      </c>
      <c r="B15" s="5">
        <v>0.95799999999999996</v>
      </c>
      <c r="C15" s="5">
        <v>0.99099999999999999</v>
      </c>
      <c r="D15" s="5">
        <v>0.80800000000000005</v>
      </c>
      <c r="E15" s="5">
        <v>1.214</v>
      </c>
      <c r="G15" s="6">
        <v>3.125</v>
      </c>
      <c r="H15" s="5">
        <v>1.216</v>
      </c>
      <c r="I15" s="5">
        <v>1.17</v>
      </c>
      <c r="J15" s="5">
        <v>1.046</v>
      </c>
      <c r="K15" s="5">
        <v>0.86099999999999999</v>
      </c>
      <c r="M15" s="6">
        <v>3.125</v>
      </c>
      <c r="N15" s="5">
        <v>0.95</v>
      </c>
      <c r="O15" s="5">
        <v>0.98599999999999999</v>
      </c>
      <c r="P15" s="5">
        <v>1.1990000000000001</v>
      </c>
      <c r="Q15" s="5">
        <v>1.0349999999999999</v>
      </c>
    </row>
    <row r="16" spans="1:17" x14ac:dyDescent="0.3">
      <c r="A16" s="6">
        <v>6.25</v>
      </c>
      <c r="B16" s="5">
        <v>1.05</v>
      </c>
      <c r="C16" s="5">
        <v>0.85099999999999998</v>
      </c>
      <c r="D16" s="5">
        <v>1.1379999999999999</v>
      </c>
      <c r="E16" s="5">
        <v>0.82499999999999996</v>
      </c>
      <c r="G16" s="6">
        <v>6.25</v>
      </c>
      <c r="H16" s="5">
        <v>1.1000000000000001</v>
      </c>
      <c r="I16" s="5">
        <v>1.097</v>
      </c>
      <c r="J16" s="5">
        <v>1.0509999999999999</v>
      </c>
      <c r="K16" s="5">
        <v>0.97499999999999998</v>
      </c>
      <c r="M16" s="6">
        <v>6.25</v>
      </c>
      <c r="N16" s="5">
        <v>1.304</v>
      </c>
      <c r="O16" s="5">
        <v>1.2270000000000001</v>
      </c>
      <c r="P16" s="5">
        <v>0.94399999999999995</v>
      </c>
      <c r="Q16" s="5">
        <v>0.96799999999999997</v>
      </c>
    </row>
    <row r="17" spans="1:17" x14ac:dyDescent="0.3">
      <c r="A17" s="6">
        <v>12.5</v>
      </c>
      <c r="B17" s="5">
        <v>1.133</v>
      </c>
      <c r="C17" s="5">
        <v>1.163</v>
      </c>
      <c r="D17" s="5">
        <v>1.3149999999999999</v>
      </c>
      <c r="E17" s="5">
        <v>1.1120000000000001</v>
      </c>
      <c r="G17" s="6">
        <v>12.5</v>
      </c>
      <c r="H17" s="5">
        <v>1.113</v>
      </c>
      <c r="I17" s="5">
        <v>1.1539999999999999</v>
      </c>
      <c r="J17" s="5">
        <v>1.1020000000000001</v>
      </c>
      <c r="K17" s="5">
        <v>0.99199999999999999</v>
      </c>
      <c r="M17" s="6">
        <v>12.5</v>
      </c>
      <c r="N17" s="5">
        <v>0.97199999999999998</v>
      </c>
      <c r="O17" s="5">
        <v>0.93899999999999995</v>
      </c>
      <c r="P17" s="5">
        <v>0.92900000000000005</v>
      </c>
      <c r="Q17" s="5">
        <v>0.88900000000000001</v>
      </c>
    </row>
    <row r="20" spans="1:17" x14ac:dyDescent="0.3">
      <c r="A20" s="8" t="s">
        <v>31</v>
      </c>
      <c r="B20" s="85" t="s">
        <v>45</v>
      </c>
      <c r="C20" s="85"/>
      <c r="D20" s="85"/>
      <c r="E20" s="85"/>
    </row>
    <row r="21" spans="1:17" x14ac:dyDescent="0.3">
      <c r="A21" s="6">
        <v>0</v>
      </c>
      <c r="B21" s="5">
        <v>0.95199999999999996</v>
      </c>
      <c r="C21" s="5">
        <v>0.876</v>
      </c>
      <c r="D21" s="5">
        <v>0.84199999999999997</v>
      </c>
      <c r="E21" s="5">
        <v>0.69699999999999995</v>
      </c>
    </row>
    <row r="22" spans="1:17" x14ac:dyDescent="0.3">
      <c r="A22" s="6">
        <v>0.78125</v>
      </c>
      <c r="B22" s="5">
        <v>1.101</v>
      </c>
      <c r="C22" s="5">
        <v>1.1819999999999999</v>
      </c>
      <c r="D22" s="5">
        <v>1.1080000000000001</v>
      </c>
      <c r="E22" s="5">
        <v>1.181</v>
      </c>
    </row>
    <row r="23" spans="1:17" x14ac:dyDescent="0.3">
      <c r="A23" s="6">
        <v>1.5625</v>
      </c>
      <c r="B23" s="5">
        <v>1.117</v>
      </c>
      <c r="C23" s="5">
        <v>0.93400000000000005</v>
      </c>
      <c r="D23" s="5">
        <v>0.95899999999999996</v>
      </c>
      <c r="E23" s="5">
        <v>1.145</v>
      </c>
    </row>
    <row r="24" spans="1:17" x14ac:dyDescent="0.3">
      <c r="A24" s="6">
        <v>3.125</v>
      </c>
      <c r="B24" s="5">
        <v>0.83699999999999997</v>
      </c>
      <c r="C24" s="5">
        <v>1.0660000000000001</v>
      </c>
      <c r="D24" s="5">
        <v>1.079</v>
      </c>
      <c r="E24" s="5">
        <v>0.86499999999999999</v>
      </c>
    </row>
    <row r="25" spans="1:17" x14ac:dyDescent="0.3">
      <c r="A25" s="6">
        <v>6.25</v>
      </c>
      <c r="B25" s="5">
        <v>1</v>
      </c>
      <c r="C25" s="5">
        <v>1.2849999999999999</v>
      </c>
      <c r="D25" s="5">
        <v>1.103</v>
      </c>
      <c r="E25" s="5">
        <v>1.0860000000000001</v>
      </c>
    </row>
    <row r="26" spans="1:17" x14ac:dyDescent="0.3">
      <c r="A26" s="6">
        <v>12.5</v>
      </c>
      <c r="B26" s="5">
        <v>1.0760000000000001</v>
      </c>
      <c r="C26" s="5">
        <v>1.3440000000000001</v>
      </c>
      <c r="D26" s="5">
        <v>1.1319999999999999</v>
      </c>
      <c r="E26" s="5">
        <v>1.2190000000000001</v>
      </c>
    </row>
    <row r="29" spans="1:17" x14ac:dyDescent="0.3">
      <c r="A29" s="9" t="s">
        <v>33</v>
      </c>
    </row>
    <row r="30" spans="1:17" x14ac:dyDescent="0.3">
      <c r="A30" s="8" t="s">
        <v>25</v>
      </c>
      <c r="B30" s="85" t="s">
        <v>45</v>
      </c>
      <c r="C30" s="85"/>
      <c r="D30" s="85"/>
      <c r="E30" s="85"/>
      <c r="G30" s="8" t="s">
        <v>26</v>
      </c>
      <c r="H30" s="85" t="s">
        <v>45</v>
      </c>
      <c r="I30" s="85"/>
      <c r="J30" s="85"/>
      <c r="K30" s="85"/>
      <c r="M30" s="8" t="s">
        <v>27</v>
      </c>
      <c r="N30" s="85" t="s">
        <v>45</v>
      </c>
      <c r="O30" s="85"/>
      <c r="P30" s="85"/>
      <c r="Q30" s="85"/>
    </row>
    <row r="31" spans="1:17" x14ac:dyDescent="0.3">
      <c r="A31" s="6">
        <v>0</v>
      </c>
      <c r="B31" s="5">
        <v>0.627</v>
      </c>
      <c r="C31" s="5">
        <v>0.69299999999999995</v>
      </c>
      <c r="D31" s="5">
        <v>0.71699999999999997</v>
      </c>
      <c r="E31" s="5">
        <v>0.71299999999999997</v>
      </c>
      <c r="G31" s="6">
        <v>0</v>
      </c>
      <c r="H31" s="5">
        <v>0.61499999999999999</v>
      </c>
      <c r="I31" s="5">
        <v>0.67500000000000004</v>
      </c>
      <c r="J31" s="5">
        <v>0.67300000000000004</v>
      </c>
      <c r="K31" s="5">
        <v>0.68100000000000005</v>
      </c>
      <c r="M31" s="6">
        <v>0</v>
      </c>
      <c r="N31" s="5">
        <v>0.65300000000000002</v>
      </c>
      <c r="O31" s="5">
        <v>0.70699999999999996</v>
      </c>
      <c r="P31" s="5">
        <v>0.65</v>
      </c>
      <c r="Q31" s="5">
        <v>0.68100000000000005</v>
      </c>
    </row>
    <row r="32" spans="1:17" x14ac:dyDescent="0.3">
      <c r="A32" s="6">
        <v>0.78125</v>
      </c>
      <c r="B32" s="5">
        <v>0.71399999999999997</v>
      </c>
      <c r="C32" s="5">
        <v>0.67300000000000004</v>
      </c>
      <c r="D32" s="5">
        <v>0.67100000000000004</v>
      </c>
      <c r="E32" s="5">
        <v>0.70599999999999996</v>
      </c>
      <c r="G32" s="6">
        <v>0.78125</v>
      </c>
      <c r="H32" s="5">
        <v>0.68</v>
      </c>
      <c r="I32" s="5">
        <v>0.64500000000000002</v>
      </c>
      <c r="J32" s="5">
        <v>0.66700000000000004</v>
      </c>
      <c r="K32" s="5">
        <v>0.68300000000000005</v>
      </c>
      <c r="M32" s="6">
        <v>0.78125</v>
      </c>
      <c r="N32" s="5">
        <v>0.67300000000000004</v>
      </c>
      <c r="O32" s="5">
        <v>0.68700000000000006</v>
      </c>
      <c r="P32" s="5">
        <v>0.69299999999999995</v>
      </c>
      <c r="Q32" s="5">
        <v>0.71699999999999997</v>
      </c>
    </row>
    <row r="33" spans="1:17" x14ac:dyDescent="0.3">
      <c r="A33" s="6">
        <v>1.5625</v>
      </c>
      <c r="B33" s="5">
        <v>0.63900000000000001</v>
      </c>
      <c r="C33" s="5">
        <v>0.70199999999999996</v>
      </c>
      <c r="D33" s="5">
        <v>0.72599999999999998</v>
      </c>
      <c r="E33" s="5">
        <v>0.71099999999999997</v>
      </c>
      <c r="G33" s="6">
        <v>1.5625</v>
      </c>
      <c r="H33" s="5">
        <v>0.67800000000000005</v>
      </c>
      <c r="I33" s="5">
        <v>0.626</v>
      </c>
      <c r="J33" s="5">
        <v>0.7</v>
      </c>
      <c r="K33" s="5">
        <v>0.68799999999999994</v>
      </c>
      <c r="M33" s="6">
        <v>1.5625</v>
      </c>
      <c r="N33" s="5">
        <v>0.70899999999999996</v>
      </c>
      <c r="O33" s="5">
        <v>0.68400000000000005</v>
      </c>
      <c r="P33" s="5">
        <v>0.67900000000000005</v>
      </c>
      <c r="Q33" s="5">
        <v>0.68500000000000005</v>
      </c>
    </row>
    <row r="34" spans="1:17" x14ac:dyDescent="0.3">
      <c r="A34" s="6">
        <v>3.125</v>
      </c>
      <c r="B34" s="5">
        <v>0.67300000000000004</v>
      </c>
      <c r="C34" s="5">
        <v>0.68300000000000005</v>
      </c>
      <c r="D34" s="5">
        <v>0.68200000000000005</v>
      </c>
      <c r="E34" s="5">
        <v>0.63500000000000001</v>
      </c>
      <c r="G34" s="6">
        <v>3.125</v>
      </c>
      <c r="H34" s="5">
        <v>0.63800000000000001</v>
      </c>
      <c r="I34" s="5">
        <v>0.64200000000000002</v>
      </c>
      <c r="J34" s="5">
        <v>0.64100000000000001</v>
      </c>
      <c r="K34" s="5">
        <v>0.63800000000000001</v>
      </c>
      <c r="M34" s="6">
        <v>3.125</v>
      </c>
      <c r="N34" s="5">
        <v>0.57499999999999996</v>
      </c>
      <c r="O34" s="5">
        <v>0.66300000000000003</v>
      </c>
      <c r="P34" s="5">
        <v>0.65300000000000002</v>
      </c>
      <c r="Q34" s="5">
        <v>0.65600000000000003</v>
      </c>
    </row>
    <row r="35" spans="1:17" x14ac:dyDescent="0.3">
      <c r="A35" s="6">
        <v>6.25</v>
      </c>
      <c r="B35" s="5">
        <v>0.60199999999999998</v>
      </c>
      <c r="C35" s="5">
        <v>0.61599999999999999</v>
      </c>
      <c r="D35" s="5">
        <v>0.624</v>
      </c>
      <c r="E35" s="5">
        <v>0.623</v>
      </c>
      <c r="G35" s="6">
        <v>6.25</v>
      </c>
      <c r="H35" s="5">
        <v>0.67700000000000005</v>
      </c>
      <c r="I35" s="5">
        <v>0.60599999999999998</v>
      </c>
      <c r="J35" s="5">
        <v>0.64100000000000001</v>
      </c>
      <c r="K35" s="5">
        <v>0.60699999999999998</v>
      </c>
      <c r="M35" s="6">
        <v>6.25</v>
      </c>
      <c r="N35" s="5">
        <v>0.63500000000000001</v>
      </c>
      <c r="O35" s="5">
        <v>0.628</v>
      </c>
      <c r="P35" s="5">
        <v>0.627</v>
      </c>
      <c r="Q35" s="5">
        <v>0.63900000000000001</v>
      </c>
    </row>
    <row r="36" spans="1:17" x14ac:dyDescent="0.3">
      <c r="A36" s="6">
        <v>12.5</v>
      </c>
      <c r="B36" s="5">
        <v>0.66</v>
      </c>
      <c r="C36" s="5">
        <v>0.62</v>
      </c>
      <c r="D36" s="5">
        <v>0.63700000000000001</v>
      </c>
      <c r="E36" s="5">
        <v>0.60699999999999998</v>
      </c>
      <c r="G36" s="6">
        <v>12.5</v>
      </c>
      <c r="H36" s="5">
        <v>0.56100000000000005</v>
      </c>
      <c r="I36" s="5">
        <v>0.624</v>
      </c>
      <c r="J36" s="5">
        <v>0.59199999999999997</v>
      </c>
      <c r="K36" s="5">
        <v>0.63600000000000001</v>
      </c>
      <c r="M36" s="6">
        <v>12.5</v>
      </c>
      <c r="N36" s="5">
        <v>0.626</v>
      </c>
      <c r="O36" s="5">
        <v>0.58799999999999997</v>
      </c>
      <c r="P36" s="5">
        <v>0.64500000000000002</v>
      </c>
      <c r="Q36" s="5">
        <v>0.499</v>
      </c>
    </row>
    <row r="39" spans="1:17" x14ac:dyDescent="0.3">
      <c r="A39" s="8" t="s">
        <v>28</v>
      </c>
      <c r="B39" s="85" t="s">
        <v>45</v>
      </c>
      <c r="C39" s="85"/>
      <c r="D39" s="85"/>
      <c r="E39" s="85"/>
      <c r="G39" s="8" t="s">
        <v>29</v>
      </c>
      <c r="H39" s="85" t="s">
        <v>45</v>
      </c>
      <c r="I39" s="85"/>
      <c r="J39" s="85"/>
      <c r="K39" s="85"/>
      <c r="M39" s="8" t="s">
        <v>30</v>
      </c>
      <c r="N39" s="85" t="s">
        <v>45</v>
      </c>
      <c r="O39" s="85"/>
      <c r="P39" s="85"/>
      <c r="Q39" s="85"/>
    </row>
    <row r="40" spans="1:17" x14ac:dyDescent="0.3">
      <c r="A40" s="6">
        <v>0</v>
      </c>
      <c r="B40" s="5">
        <v>0.65300000000000002</v>
      </c>
      <c r="C40" s="5">
        <v>0.67</v>
      </c>
      <c r="D40" s="5">
        <v>0.68</v>
      </c>
      <c r="E40" s="5">
        <v>0.69599999999999995</v>
      </c>
      <c r="G40" s="6">
        <v>0</v>
      </c>
      <c r="H40" s="5">
        <v>0.752</v>
      </c>
      <c r="I40" s="5">
        <v>0.70899999999999996</v>
      </c>
      <c r="J40" s="5">
        <v>0.70099999999999996</v>
      </c>
      <c r="K40" s="5">
        <v>0.72099999999999997</v>
      </c>
      <c r="M40" s="6">
        <v>0</v>
      </c>
      <c r="N40" s="5">
        <v>0.67700000000000005</v>
      </c>
      <c r="O40" s="5">
        <v>0.72599999999999998</v>
      </c>
      <c r="P40" s="5">
        <v>0.66</v>
      </c>
      <c r="Q40" s="5">
        <v>0.623</v>
      </c>
    </row>
    <row r="41" spans="1:17" x14ac:dyDescent="0.3">
      <c r="A41" s="6">
        <v>0.78125</v>
      </c>
      <c r="B41" s="5">
        <v>0.64400000000000002</v>
      </c>
      <c r="C41" s="5">
        <v>0.65900000000000003</v>
      </c>
      <c r="D41" s="5">
        <v>0.71</v>
      </c>
      <c r="E41" s="5">
        <v>0.70599999999999996</v>
      </c>
      <c r="G41" s="6">
        <v>0.78125</v>
      </c>
      <c r="H41" s="5">
        <v>0.77400000000000002</v>
      </c>
      <c r="I41" s="5">
        <v>0.69</v>
      </c>
      <c r="J41" s="5">
        <v>0.66900000000000004</v>
      </c>
      <c r="K41" s="5">
        <v>0.64900000000000002</v>
      </c>
      <c r="M41" s="6">
        <v>0.78125</v>
      </c>
      <c r="N41" s="5">
        <v>0.72899999999999998</v>
      </c>
      <c r="O41" s="5">
        <v>0.64700000000000002</v>
      </c>
      <c r="P41" s="5">
        <v>0.77900000000000003</v>
      </c>
      <c r="Q41" s="5">
        <v>0.70199999999999996</v>
      </c>
    </row>
    <row r="42" spans="1:17" x14ac:dyDescent="0.3">
      <c r="A42" s="6">
        <v>1.5625</v>
      </c>
      <c r="B42" s="5">
        <v>0.66500000000000004</v>
      </c>
      <c r="C42" s="5">
        <v>0.66500000000000004</v>
      </c>
      <c r="D42" s="5">
        <v>0.57699999999999996</v>
      </c>
      <c r="E42" s="5">
        <v>0.65</v>
      </c>
      <c r="G42" s="6">
        <v>1.5625</v>
      </c>
      <c r="H42" s="5">
        <v>0.65700000000000003</v>
      </c>
      <c r="I42" s="5">
        <v>0.64700000000000002</v>
      </c>
      <c r="J42" s="5">
        <v>0.63800000000000001</v>
      </c>
      <c r="K42" s="5">
        <v>0.61099999999999999</v>
      </c>
      <c r="M42" s="6">
        <v>1.5625</v>
      </c>
      <c r="N42" s="5">
        <v>0.69699999999999995</v>
      </c>
      <c r="O42" s="5">
        <v>0.75600000000000001</v>
      </c>
      <c r="P42" s="5">
        <v>0.63500000000000001</v>
      </c>
      <c r="Q42" s="5">
        <v>0.56699999999999995</v>
      </c>
    </row>
    <row r="43" spans="1:17" x14ac:dyDescent="0.3">
      <c r="A43" s="6">
        <v>3.125</v>
      </c>
      <c r="B43" s="5">
        <v>0.61399999999999999</v>
      </c>
      <c r="C43" s="5">
        <v>0.68799999999999994</v>
      </c>
      <c r="D43" s="5">
        <v>0.57899999999999996</v>
      </c>
      <c r="E43" s="5">
        <v>0.66200000000000003</v>
      </c>
      <c r="G43" s="6">
        <v>3.125</v>
      </c>
      <c r="H43" s="5">
        <v>0.56499999999999995</v>
      </c>
      <c r="I43" s="5">
        <v>0.69199999999999995</v>
      </c>
      <c r="J43" s="5">
        <v>0.64500000000000002</v>
      </c>
      <c r="K43" s="5">
        <v>0.69</v>
      </c>
      <c r="M43" s="6">
        <v>3.125</v>
      </c>
      <c r="N43" s="5">
        <v>0.621</v>
      </c>
      <c r="O43" s="5">
        <v>0.58099999999999996</v>
      </c>
      <c r="P43" s="5">
        <v>0.64</v>
      </c>
      <c r="Q43" s="5">
        <v>0.58499999999999996</v>
      </c>
    </row>
    <row r="44" spans="1:17" x14ac:dyDescent="0.3">
      <c r="A44" s="6">
        <v>6.25</v>
      </c>
      <c r="B44" s="5">
        <v>0.66</v>
      </c>
      <c r="C44" s="5">
        <v>0.69799999999999995</v>
      </c>
      <c r="D44" s="5">
        <v>0.60499999999999998</v>
      </c>
      <c r="E44" s="5">
        <v>0.57599999999999996</v>
      </c>
      <c r="G44" s="6">
        <v>6.25</v>
      </c>
      <c r="H44" s="5">
        <v>0.60899999999999999</v>
      </c>
      <c r="I44" s="5">
        <v>0.61599999999999999</v>
      </c>
      <c r="J44" s="5">
        <v>0.67400000000000004</v>
      </c>
      <c r="K44" s="5">
        <v>0.52600000000000002</v>
      </c>
      <c r="M44" s="6">
        <v>6.25</v>
      </c>
      <c r="N44" s="5">
        <v>0.63400000000000001</v>
      </c>
      <c r="O44" s="5">
        <v>0.58699999999999997</v>
      </c>
      <c r="P44" s="5">
        <v>0.57399999999999995</v>
      </c>
      <c r="Q44" s="5">
        <v>0.60299999999999998</v>
      </c>
    </row>
    <row r="45" spans="1:17" x14ac:dyDescent="0.3">
      <c r="A45" s="6">
        <v>12.5</v>
      </c>
      <c r="B45" s="5">
        <v>0.57299999999999995</v>
      </c>
      <c r="C45" s="5">
        <v>0.63500000000000001</v>
      </c>
      <c r="D45" s="5">
        <v>0.54</v>
      </c>
      <c r="E45" s="5">
        <v>0.505</v>
      </c>
      <c r="G45" s="6">
        <v>12.5</v>
      </c>
      <c r="H45" s="5">
        <v>0.58199999999999996</v>
      </c>
      <c r="I45" s="5">
        <v>0.56999999999999995</v>
      </c>
      <c r="J45" s="5">
        <v>0.57999999999999996</v>
      </c>
      <c r="K45" s="5">
        <v>0.53900000000000003</v>
      </c>
      <c r="M45" s="6">
        <v>12.5</v>
      </c>
      <c r="N45" s="5">
        <v>0.51500000000000001</v>
      </c>
      <c r="O45" s="5">
        <v>0.55100000000000005</v>
      </c>
      <c r="P45" s="5">
        <v>0.56499999999999995</v>
      </c>
      <c r="Q45" s="5">
        <v>0.59</v>
      </c>
    </row>
    <row r="48" spans="1:17" x14ac:dyDescent="0.3">
      <c r="A48" s="8" t="s">
        <v>31</v>
      </c>
      <c r="B48" s="85" t="s">
        <v>45</v>
      </c>
      <c r="C48" s="85"/>
      <c r="D48" s="85"/>
      <c r="E48" s="85"/>
    </row>
    <row r="49" spans="1:5" x14ac:dyDescent="0.3">
      <c r="A49" s="6">
        <v>0</v>
      </c>
      <c r="B49" s="5">
        <v>0.67200000000000004</v>
      </c>
      <c r="C49" s="5">
        <v>0.64</v>
      </c>
      <c r="D49" s="5">
        <v>0.59299999999999997</v>
      </c>
      <c r="E49" s="5">
        <v>0.65</v>
      </c>
    </row>
    <row r="50" spans="1:5" x14ac:dyDescent="0.3">
      <c r="A50" s="6">
        <v>0.78125</v>
      </c>
      <c r="B50" s="5">
        <v>0.625</v>
      </c>
      <c r="C50" s="5">
        <v>0.54100000000000004</v>
      </c>
      <c r="D50" s="5">
        <v>0.626</v>
      </c>
      <c r="E50" s="5">
        <v>0.67400000000000004</v>
      </c>
    </row>
    <row r="51" spans="1:5" x14ac:dyDescent="0.3">
      <c r="A51" s="6">
        <v>1.5625</v>
      </c>
      <c r="B51" s="5">
        <v>0.59699999999999998</v>
      </c>
      <c r="C51" s="5">
        <v>0.66600000000000004</v>
      </c>
      <c r="D51" s="5">
        <v>0.56799999999999995</v>
      </c>
      <c r="E51" s="5">
        <v>0.57499999999999996</v>
      </c>
    </row>
    <row r="52" spans="1:5" x14ac:dyDescent="0.3">
      <c r="A52" s="6">
        <v>3.125</v>
      </c>
      <c r="B52" s="5">
        <v>0.60199999999999998</v>
      </c>
      <c r="C52" s="5">
        <v>0.55500000000000005</v>
      </c>
      <c r="D52" s="5">
        <v>0.60899999999999999</v>
      </c>
      <c r="E52" s="5">
        <v>0.58199999999999996</v>
      </c>
    </row>
    <row r="53" spans="1:5" x14ac:dyDescent="0.3">
      <c r="A53" s="6">
        <v>6.25</v>
      </c>
      <c r="B53" s="5">
        <v>0.54500000000000004</v>
      </c>
      <c r="C53" s="5">
        <v>0.58299999999999996</v>
      </c>
      <c r="D53" s="5">
        <v>0.505</v>
      </c>
      <c r="E53" s="5">
        <v>0.57299999999999995</v>
      </c>
    </row>
    <row r="54" spans="1:5" x14ac:dyDescent="0.3">
      <c r="A54" s="6">
        <v>12.5</v>
      </c>
      <c r="B54" s="5">
        <v>0.57699999999999996</v>
      </c>
      <c r="C54" s="5">
        <v>0.51500000000000001</v>
      </c>
      <c r="D54" s="5">
        <v>0.56000000000000005</v>
      </c>
      <c r="E54" s="5">
        <v>0.52100000000000002</v>
      </c>
    </row>
  </sheetData>
  <mergeCells count="14">
    <mergeCell ref="B48:E48"/>
    <mergeCell ref="B20:E20"/>
    <mergeCell ref="B30:E30"/>
    <mergeCell ref="H30:K30"/>
    <mergeCell ref="N30:Q30"/>
    <mergeCell ref="B39:E39"/>
    <mergeCell ref="H39:K39"/>
    <mergeCell ref="N39:Q39"/>
    <mergeCell ref="B2:E2"/>
    <mergeCell ref="H2:K2"/>
    <mergeCell ref="N2:Q2"/>
    <mergeCell ref="B11:E11"/>
    <mergeCell ref="H11:K11"/>
    <mergeCell ref="N11:Q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2"/>
  <sheetViews>
    <sheetView topLeftCell="A7" zoomScale="85" zoomScaleNormal="85" workbookViewId="0">
      <selection activeCell="U60" sqref="U60"/>
    </sheetView>
  </sheetViews>
  <sheetFormatPr defaultRowHeight="14.4" x14ac:dyDescent="0.3"/>
  <cols>
    <col min="1" max="1" width="12.5546875" customWidth="1"/>
    <col min="9" max="9" width="11.44140625" customWidth="1"/>
    <col min="12" max="12" width="10.21875" customWidth="1"/>
    <col min="16" max="17" width="9.5546875" bestFit="1" customWidth="1"/>
  </cols>
  <sheetData>
    <row r="1" spans="1:18" x14ac:dyDescent="0.3">
      <c r="A1" s="9" t="s">
        <v>106</v>
      </c>
    </row>
    <row r="2" spans="1:18" x14ac:dyDescent="0.3">
      <c r="B2" s="21"/>
      <c r="C2" s="91" t="s">
        <v>52</v>
      </c>
      <c r="D2" s="91"/>
      <c r="E2" s="91"/>
      <c r="F2" s="91"/>
      <c r="G2" s="91"/>
      <c r="H2" s="91"/>
      <c r="I2" s="91"/>
      <c r="J2" s="91"/>
      <c r="K2" s="91"/>
      <c r="L2" s="91"/>
    </row>
    <row r="3" spans="1:18" x14ac:dyDescent="0.3">
      <c r="B3" s="22" t="s">
        <v>62</v>
      </c>
      <c r="C3" s="45">
        <v>1</v>
      </c>
      <c r="D3" s="45">
        <v>2</v>
      </c>
      <c r="E3" s="45">
        <v>3</v>
      </c>
      <c r="F3" s="45">
        <v>4</v>
      </c>
      <c r="G3" s="45">
        <v>5</v>
      </c>
      <c r="H3" s="45">
        <v>6</v>
      </c>
      <c r="I3" s="45">
        <v>7</v>
      </c>
      <c r="J3" s="45">
        <v>8</v>
      </c>
      <c r="K3" s="45">
        <v>9</v>
      </c>
      <c r="L3" s="45">
        <v>10</v>
      </c>
    </row>
    <row r="4" spans="1:18" x14ac:dyDescent="0.3">
      <c r="A4" t="s">
        <v>2</v>
      </c>
      <c r="B4" t="s">
        <v>2</v>
      </c>
      <c r="C4" s="32">
        <v>1.177</v>
      </c>
      <c r="D4" s="32">
        <v>1.2330000000000001</v>
      </c>
      <c r="E4" s="32">
        <v>2.4729999999999999</v>
      </c>
      <c r="F4" s="32">
        <v>1.097</v>
      </c>
      <c r="G4" s="32">
        <v>1.663</v>
      </c>
      <c r="H4" s="32">
        <v>1.233333</v>
      </c>
      <c r="I4" s="32">
        <v>0.37</v>
      </c>
      <c r="J4" s="32">
        <v>0.54333339999999997</v>
      </c>
      <c r="K4" s="32">
        <v>0.75</v>
      </c>
      <c r="L4" s="32">
        <v>1.9066669999999999</v>
      </c>
      <c r="R4" s="44"/>
    </row>
    <row r="5" spans="1:18" x14ac:dyDescent="0.3">
      <c r="A5" t="s">
        <v>3</v>
      </c>
      <c r="B5" t="s">
        <v>3</v>
      </c>
      <c r="C5" s="32">
        <v>8.2829999999999995</v>
      </c>
      <c r="D5" s="32">
        <v>8.6370000000000005</v>
      </c>
      <c r="E5" s="32">
        <v>6.4029999999999996</v>
      </c>
      <c r="F5" s="32">
        <v>3.91</v>
      </c>
      <c r="G5" s="32">
        <v>4.6399999999999997</v>
      </c>
      <c r="H5" s="32">
        <v>6.8933330000000002</v>
      </c>
      <c r="I5" s="32">
        <v>2.4066670000000001</v>
      </c>
      <c r="J5" s="32">
        <v>2.8533330000000001</v>
      </c>
      <c r="K5" s="32">
        <v>7.1466669999999999</v>
      </c>
      <c r="L5" s="32">
        <v>14.34333</v>
      </c>
      <c r="R5" s="44"/>
    </row>
    <row r="6" spans="1:18" x14ac:dyDescent="0.3">
      <c r="A6" t="s">
        <v>4</v>
      </c>
      <c r="B6" t="s">
        <v>4</v>
      </c>
      <c r="C6" s="32">
        <v>6.6230000000000002</v>
      </c>
      <c r="D6" s="32">
        <v>3.2269999999999999</v>
      </c>
      <c r="E6" s="32">
        <v>7.3970000000000002</v>
      </c>
      <c r="F6" s="32">
        <v>4.13</v>
      </c>
      <c r="G6" s="32">
        <v>4.9400000000000004</v>
      </c>
      <c r="H6" s="32">
        <v>3.976667</v>
      </c>
      <c r="I6" s="32">
        <v>0.73</v>
      </c>
      <c r="J6" s="32">
        <v>0.56666669999999997</v>
      </c>
      <c r="K6" s="32">
        <v>2.5133329999999998</v>
      </c>
      <c r="L6" s="32">
        <v>9.1066669999999998</v>
      </c>
      <c r="R6" s="44"/>
    </row>
    <row r="7" spans="1:18" x14ac:dyDescent="0.3">
      <c r="A7" t="s">
        <v>23</v>
      </c>
      <c r="B7" t="s">
        <v>56</v>
      </c>
      <c r="C7" s="29">
        <v>18.903333333333332</v>
      </c>
      <c r="D7" s="29">
        <v>21.826666666666664</v>
      </c>
      <c r="E7" s="29">
        <v>15.556666666666667</v>
      </c>
      <c r="F7" s="29">
        <v>13.073333333333332</v>
      </c>
      <c r="G7" s="29">
        <v>14.606666666666667</v>
      </c>
      <c r="I7" s="41"/>
      <c r="J7" s="41"/>
      <c r="K7" s="41"/>
      <c r="L7" s="41"/>
      <c r="M7" s="41"/>
      <c r="R7" s="31"/>
    </row>
    <row r="8" spans="1:18" x14ac:dyDescent="0.3">
      <c r="A8" t="s">
        <v>53</v>
      </c>
      <c r="B8" t="s">
        <v>57</v>
      </c>
      <c r="C8" s="32">
        <v>1.5999999999999999</v>
      </c>
      <c r="D8" s="32">
        <v>0.39999999999999997</v>
      </c>
      <c r="E8" s="32">
        <v>0.42666666666666669</v>
      </c>
      <c r="F8" s="32">
        <v>0.96</v>
      </c>
      <c r="G8" s="32">
        <v>2.36</v>
      </c>
      <c r="I8" s="41"/>
      <c r="J8" s="41"/>
      <c r="K8" s="41"/>
      <c r="L8" s="41"/>
      <c r="M8" s="41"/>
      <c r="R8" s="31"/>
    </row>
    <row r="9" spans="1:18" x14ac:dyDescent="0.3">
      <c r="A9" t="s">
        <v>24</v>
      </c>
      <c r="B9" t="s">
        <v>58</v>
      </c>
      <c r="C9" s="29">
        <v>19.196666666666665</v>
      </c>
      <c r="D9" s="29">
        <v>22.650000000000002</v>
      </c>
      <c r="E9" s="29">
        <v>16.333333333333332</v>
      </c>
      <c r="F9" s="29">
        <v>13.683333333333332</v>
      </c>
      <c r="G9" s="29">
        <v>15.916666666666666</v>
      </c>
      <c r="I9" s="41"/>
      <c r="J9" s="41"/>
      <c r="K9" s="41"/>
      <c r="L9" s="41"/>
      <c r="M9" s="41"/>
      <c r="R9" s="31"/>
    </row>
    <row r="10" spans="1:18" x14ac:dyDescent="0.3">
      <c r="A10" t="s">
        <v>99</v>
      </c>
      <c r="B10" t="s">
        <v>59</v>
      </c>
      <c r="C10" s="29">
        <v>1.9933333333333301</v>
      </c>
      <c r="D10" s="29">
        <v>0.42666666666666669</v>
      </c>
      <c r="E10" s="29">
        <v>0.42666666666666669</v>
      </c>
      <c r="F10" s="29">
        <v>1.156666666666667</v>
      </c>
      <c r="G10" s="29">
        <v>2.5299999999999998</v>
      </c>
      <c r="I10" s="41"/>
      <c r="J10" s="41"/>
      <c r="K10" s="41"/>
      <c r="L10" s="41"/>
      <c r="M10" s="41"/>
      <c r="R10" s="31"/>
    </row>
    <row r="11" spans="1:18" x14ac:dyDescent="0.3">
      <c r="A11" t="s">
        <v>100</v>
      </c>
      <c r="B11" t="s">
        <v>60</v>
      </c>
      <c r="C11" s="32">
        <v>19.16333333333333</v>
      </c>
      <c r="D11" s="32">
        <v>23.793333333333333</v>
      </c>
      <c r="E11" s="32">
        <v>17.069999999999997</v>
      </c>
      <c r="F11" s="32">
        <v>14.096666666666666</v>
      </c>
      <c r="G11" s="32">
        <v>16.723333333333333</v>
      </c>
      <c r="I11" s="41"/>
      <c r="J11" s="41"/>
      <c r="K11" s="41"/>
      <c r="L11" s="41"/>
      <c r="M11" s="41"/>
    </row>
    <row r="12" spans="1:18" x14ac:dyDescent="0.3">
      <c r="A12" t="s">
        <v>54</v>
      </c>
      <c r="B12" t="s">
        <v>61</v>
      </c>
      <c r="C12" s="32">
        <v>5.5533333333333337</v>
      </c>
      <c r="D12" s="32">
        <v>0.5</v>
      </c>
      <c r="E12" s="32">
        <v>0.5033333333333333</v>
      </c>
      <c r="F12" s="32">
        <v>2.2133333333333334</v>
      </c>
      <c r="G12" s="32">
        <v>3.5333333333333332</v>
      </c>
      <c r="I12" s="41"/>
      <c r="J12" s="41"/>
      <c r="K12" s="41"/>
      <c r="L12" s="41"/>
      <c r="M12" s="41"/>
    </row>
    <row r="13" spans="1:18" x14ac:dyDescent="0.3">
      <c r="L13" s="27"/>
      <c r="M13" s="27"/>
      <c r="N13" s="27"/>
      <c r="O13" s="27"/>
      <c r="P13" s="32"/>
      <c r="Q13" s="30"/>
    </row>
    <row r="14" spans="1:18" x14ac:dyDescent="0.3">
      <c r="A14" s="9" t="s">
        <v>107</v>
      </c>
      <c r="L14" s="27"/>
      <c r="M14" s="27"/>
      <c r="N14" s="27"/>
      <c r="O14" s="27"/>
      <c r="P14" s="32"/>
      <c r="Q14" s="30"/>
    </row>
    <row r="15" spans="1:18" x14ac:dyDescent="0.3">
      <c r="B15" s="21"/>
      <c r="C15" s="91" t="s">
        <v>55</v>
      </c>
      <c r="D15" s="91"/>
      <c r="E15" s="91"/>
      <c r="F15" s="91"/>
      <c r="G15" s="91"/>
      <c r="H15" s="91"/>
      <c r="I15" s="91"/>
      <c r="J15" s="91"/>
      <c r="K15" s="91"/>
      <c r="L15" s="91"/>
      <c r="M15" s="27"/>
      <c r="N15" s="27"/>
      <c r="O15" s="27"/>
      <c r="P15" s="32"/>
      <c r="Q15" s="30"/>
    </row>
    <row r="16" spans="1:18" x14ac:dyDescent="0.3">
      <c r="B16" s="22" t="s">
        <v>62</v>
      </c>
      <c r="C16" s="45">
        <v>1</v>
      </c>
      <c r="D16" s="45">
        <v>2</v>
      </c>
      <c r="E16" s="45">
        <v>3</v>
      </c>
      <c r="F16" s="45">
        <v>4</v>
      </c>
      <c r="G16" s="45">
        <v>5</v>
      </c>
      <c r="H16" s="45">
        <v>6</v>
      </c>
      <c r="I16" s="45">
        <v>7</v>
      </c>
      <c r="J16" s="45">
        <v>8</v>
      </c>
      <c r="K16" s="45">
        <v>9</v>
      </c>
      <c r="L16" s="45">
        <v>10</v>
      </c>
      <c r="M16" s="27"/>
      <c r="N16" s="27"/>
      <c r="O16" s="27"/>
      <c r="P16" s="32"/>
      <c r="Q16" s="30"/>
    </row>
    <row r="17" spans="1:17" x14ac:dyDescent="0.3">
      <c r="A17" t="s">
        <v>2</v>
      </c>
      <c r="B17" t="s">
        <v>2</v>
      </c>
      <c r="C17" s="32">
        <v>3.0030000000000001</v>
      </c>
      <c r="D17" s="32">
        <v>1.88</v>
      </c>
      <c r="E17" s="32">
        <v>3.42</v>
      </c>
      <c r="F17" s="32">
        <v>2.16</v>
      </c>
      <c r="G17" s="32">
        <v>3.6269999999999998</v>
      </c>
      <c r="H17" s="32">
        <v>3.8166669999999998</v>
      </c>
      <c r="I17" s="32">
        <v>3.02</v>
      </c>
      <c r="J17" s="32">
        <v>2.7633329999999998</v>
      </c>
      <c r="K17" s="32">
        <v>2.5299999999999998</v>
      </c>
      <c r="L17" s="32">
        <v>2.66</v>
      </c>
    </row>
    <row r="18" spans="1:17" x14ac:dyDescent="0.3">
      <c r="A18" t="s">
        <v>3</v>
      </c>
      <c r="B18" t="s">
        <v>3</v>
      </c>
      <c r="C18" s="32">
        <v>6.03</v>
      </c>
      <c r="D18" s="32">
        <v>4.7169999999999996</v>
      </c>
      <c r="E18" s="32">
        <v>4.2729999999999997</v>
      </c>
      <c r="F18" s="32">
        <v>3.1970000000000001</v>
      </c>
      <c r="G18" s="32">
        <v>4.077</v>
      </c>
      <c r="H18" s="32">
        <v>6.02</v>
      </c>
      <c r="I18" s="32">
        <v>4.3366670000000003</v>
      </c>
      <c r="J18" s="32">
        <v>4.733333</v>
      </c>
      <c r="K18" s="32">
        <v>4.5133330000000003</v>
      </c>
      <c r="L18" s="32">
        <v>5.22</v>
      </c>
    </row>
    <row r="19" spans="1:17" x14ac:dyDescent="0.3">
      <c r="A19" t="s">
        <v>4</v>
      </c>
      <c r="B19" t="s">
        <v>4</v>
      </c>
      <c r="C19" s="32">
        <v>10.673</v>
      </c>
      <c r="D19" s="32">
        <v>9.17</v>
      </c>
      <c r="E19" s="32">
        <v>9.7270000000000003</v>
      </c>
      <c r="F19" s="32">
        <v>9.7129999999999992</v>
      </c>
      <c r="G19" s="32">
        <v>10.84</v>
      </c>
      <c r="H19" s="32">
        <v>10.286670000000001</v>
      </c>
      <c r="I19" s="32">
        <v>8.7100000000000009</v>
      </c>
      <c r="J19" s="32">
        <v>8.0266669999999998</v>
      </c>
      <c r="K19" s="32">
        <v>8.4866670000000006</v>
      </c>
      <c r="L19" s="32">
        <v>10.27</v>
      </c>
    </row>
    <row r="20" spans="1:17" x14ac:dyDescent="0.3">
      <c r="A20" t="s">
        <v>23</v>
      </c>
      <c r="B20" t="s">
        <v>56</v>
      </c>
      <c r="C20" s="29">
        <v>9.7966666666666669</v>
      </c>
      <c r="D20" s="29">
        <v>9.2266666666666666</v>
      </c>
      <c r="E20" s="29">
        <v>8.32</v>
      </c>
      <c r="F20" s="29">
        <v>8.59</v>
      </c>
      <c r="G20" s="29">
        <v>10.106666666666667</v>
      </c>
      <c r="H20" s="16"/>
      <c r="L20" s="27"/>
      <c r="M20" s="27"/>
      <c r="N20" s="27"/>
      <c r="O20" s="27"/>
      <c r="P20" s="32"/>
      <c r="Q20" s="30"/>
    </row>
    <row r="21" spans="1:17" x14ac:dyDescent="0.3">
      <c r="A21" t="s">
        <v>53</v>
      </c>
      <c r="B21" t="s">
        <v>57</v>
      </c>
      <c r="C21" s="32">
        <v>3.7366666666666668</v>
      </c>
      <c r="D21" s="32">
        <v>2.9666666666666668</v>
      </c>
      <c r="E21" s="32">
        <v>2.8266666666666667</v>
      </c>
      <c r="F21" s="32">
        <v>2.6433333333333335</v>
      </c>
      <c r="G21" s="32">
        <v>2.78</v>
      </c>
      <c r="H21" s="16"/>
      <c r="L21" s="27"/>
      <c r="M21" s="27"/>
      <c r="N21" s="27"/>
      <c r="O21" s="27"/>
      <c r="P21" s="32"/>
      <c r="Q21" s="30"/>
    </row>
    <row r="22" spans="1:17" x14ac:dyDescent="0.3">
      <c r="A22" t="s">
        <v>24</v>
      </c>
      <c r="B22" t="s">
        <v>58</v>
      </c>
      <c r="C22" s="29">
        <v>9.8533333333333317</v>
      </c>
      <c r="D22" s="29">
        <v>9.6833333333333318</v>
      </c>
      <c r="E22" s="29">
        <v>8.5266666666666673</v>
      </c>
      <c r="F22" s="29">
        <v>8.7000000000000011</v>
      </c>
      <c r="G22" s="29">
        <v>10.623333333333333</v>
      </c>
      <c r="H22" s="16"/>
      <c r="L22" s="27"/>
      <c r="M22" s="27"/>
      <c r="N22" s="27"/>
      <c r="O22" s="27"/>
      <c r="P22" s="32"/>
      <c r="Q22" s="30"/>
    </row>
    <row r="23" spans="1:17" x14ac:dyDescent="0.3">
      <c r="A23" t="s">
        <v>99</v>
      </c>
      <c r="B23" t="s">
        <v>59</v>
      </c>
      <c r="C23" s="29">
        <v>4.2266666666666666</v>
      </c>
      <c r="D23" s="29">
        <v>3.0966666666666662</v>
      </c>
      <c r="E23" s="29">
        <v>3.0366666666666666</v>
      </c>
      <c r="F23" s="29">
        <v>2.9</v>
      </c>
      <c r="G23" s="29">
        <v>2.94</v>
      </c>
      <c r="H23" s="16"/>
      <c r="L23" s="27"/>
      <c r="M23" s="27"/>
      <c r="N23" s="27"/>
      <c r="O23" s="27"/>
      <c r="P23" s="32"/>
      <c r="Q23" s="30"/>
    </row>
    <row r="24" spans="1:17" x14ac:dyDescent="0.3">
      <c r="A24" t="s">
        <v>98</v>
      </c>
      <c r="B24" t="s">
        <v>60</v>
      </c>
      <c r="C24" s="32">
        <v>9.8333333333333339</v>
      </c>
      <c r="D24" s="32">
        <v>9.8333333333333339</v>
      </c>
      <c r="E24" s="32">
        <v>8.5466666666666669</v>
      </c>
      <c r="F24" s="32">
        <v>8.7433333333333341</v>
      </c>
      <c r="G24" s="32">
        <v>10.696666666666665</v>
      </c>
      <c r="H24" s="16"/>
      <c r="L24" s="27"/>
      <c r="M24" s="27"/>
      <c r="N24" s="27"/>
      <c r="O24" s="27"/>
      <c r="P24" s="32"/>
      <c r="Q24" s="30"/>
    </row>
    <row r="25" spans="1:17" x14ac:dyDescent="0.3">
      <c r="A25" t="s">
        <v>54</v>
      </c>
      <c r="B25" t="s">
        <v>61</v>
      </c>
      <c r="C25" s="32">
        <v>6.62</v>
      </c>
      <c r="D25" s="32">
        <v>3.436666666666667</v>
      </c>
      <c r="E25" s="32">
        <v>3.6966666666666668</v>
      </c>
      <c r="F25" s="32">
        <v>4.0199999999999996</v>
      </c>
      <c r="G25" s="32">
        <v>3.4533333333333331</v>
      </c>
      <c r="H25" s="16"/>
      <c r="I25" s="41"/>
      <c r="J25" s="41"/>
      <c r="K25" s="41"/>
      <c r="L25" s="41"/>
      <c r="M25" s="41"/>
      <c r="N25" s="27"/>
      <c r="O25" s="27"/>
      <c r="P25" s="32"/>
      <c r="Q25" s="30"/>
    </row>
    <row r="26" spans="1:17" x14ac:dyDescent="0.3">
      <c r="I26" s="41"/>
      <c r="J26" s="41"/>
      <c r="K26" s="41"/>
      <c r="L26" s="41"/>
      <c r="M26" s="41"/>
      <c r="N26" s="27"/>
      <c r="O26" s="27"/>
      <c r="P26" s="32"/>
      <c r="Q26" s="30"/>
    </row>
    <row r="27" spans="1:17" x14ac:dyDescent="0.3">
      <c r="I27" s="41"/>
      <c r="J27" s="41"/>
      <c r="K27" s="41"/>
      <c r="L27" s="41"/>
      <c r="M27" s="41"/>
      <c r="N27" s="27"/>
      <c r="O27" s="27"/>
      <c r="P27" s="32"/>
      <c r="Q27" s="30"/>
    </row>
    <row r="28" spans="1:17" x14ac:dyDescent="0.3">
      <c r="I28" s="41"/>
      <c r="J28" s="41"/>
      <c r="K28" s="41"/>
      <c r="L28" s="41"/>
      <c r="M28" s="41"/>
      <c r="N28" s="32"/>
      <c r="O28" s="32"/>
      <c r="P28" s="30"/>
      <c r="Q28" s="30"/>
    </row>
    <row r="29" spans="1:17" x14ac:dyDescent="0.3">
      <c r="A29" s="40" t="s">
        <v>105</v>
      </c>
      <c r="B29" s="40"/>
      <c r="L29" s="1"/>
      <c r="N29" s="25"/>
      <c r="O29" s="25"/>
    </row>
    <row r="30" spans="1:17" x14ac:dyDescent="0.3">
      <c r="A30" s="7"/>
      <c r="B30" s="89" t="s">
        <v>17</v>
      </c>
      <c r="C30" s="89"/>
      <c r="L30" s="32"/>
      <c r="M30" s="16"/>
      <c r="N30" s="25"/>
      <c r="O30" s="25"/>
    </row>
    <row r="31" spans="1:17" x14ac:dyDescent="0.3">
      <c r="A31" s="3" t="s">
        <v>23</v>
      </c>
      <c r="B31" s="5">
        <v>13.56</v>
      </c>
      <c r="C31" s="5">
        <v>24.08</v>
      </c>
      <c r="L31" s="1"/>
      <c r="N31" s="29"/>
      <c r="O31" s="29"/>
    </row>
    <row r="32" spans="1:17" x14ac:dyDescent="0.3">
      <c r="A32" s="3" t="s">
        <v>53</v>
      </c>
      <c r="B32" s="5">
        <v>2.06</v>
      </c>
      <c r="C32" s="5">
        <v>0.77</v>
      </c>
      <c r="L32" s="33"/>
      <c r="M32" s="16"/>
      <c r="N32" s="32"/>
      <c r="O32" s="32"/>
    </row>
    <row r="33" spans="1:15" x14ac:dyDescent="0.3">
      <c r="A33" s="3" t="s">
        <v>24</v>
      </c>
      <c r="B33" s="5">
        <v>10.71</v>
      </c>
      <c r="C33" s="5">
        <v>23.33</v>
      </c>
      <c r="L33" s="1"/>
      <c r="N33" s="29"/>
      <c r="O33" s="29"/>
    </row>
    <row r="34" spans="1:15" x14ac:dyDescent="0.3">
      <c r="A34" s="3" t="s">
        <v>54</v>
      </c>
      <c r="B34" s="5">
        <v>6.92</v>
      </c>
      <c r="C34" s="5">
        <v>3.63</v>
      </c>
      <c r="L34" s="32"/>
      <c r="M34" s="16"/>
      <c r="N34" s="29"/>
      <c r="O34" s="29"/>
    </row>
    <row r="35" spans="1:15" x14ac:dyDescent="0.3">
      <c r="A35" s="3" t="s">
        <v>24</v>
      </c>
      <c r="B35" s="5">
        <v>11.53</v>
      </c>
      <c r="C35" s="5">
        <v>31.11</v>
      </c>
      <c r="N35" s="32"/>
      <c r="O35" s="32"/>
    </row>
    <row r="36" spans="1:15" x14ac:dyDescent="0.3">
      <c r="A36" s="3" t="s">
        <v>54</v>
      </c>
      <c r="B36" s="5">
        <v>8.7200000000000006</v>
      </c>
      <c r="C36" s="5">
        <v>5.65</v>
      </c>
      <c r="N36" s="32"/>
      <c r="O36" s="32"/>
    </row>
    <row r="37" spans="1:15" x14ac:dyDescent="0.3">
      <c r="L37" s="34"/>
      <c r="M37" s="34"/>
    </row>
    <row r="40" spans="1:15" x14ac:dyDescent="0.3">
      <c r="A40" s="80" t="s">
        <v>108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</row>
    <row r="42" spans="1:15" x14ac:dyDescent="0.3">
      <c r="A42" s="3" t="s">
        <v>69</v>
      </c>
      <c r="B42" s="92" t="s">
        <v>81</v>
      </c>
      <c r="C42" s="92"/>
      <c r="D42" s="3"/>
      <c r="E42" s="3"/>
      <c r="F42" s="3" t="s">
        <v>63</v>
      </c>
      <c r="G42" s="3" t="s">
        <v>87</v>
      </c>
      <c r="I42" s="3" t="s">
        <v>78</v>
      </c>
      <c r="J42" s="90" t="s">
        <v>81</v>
      </c>
      <c r="K42" s="90"/>
      <c r="L42" s="3"/>
      <c r="M42" s="3"/>
      <c r="N42" s="3" t="s">
        <v>63</v>
      </c>
      <c r="O42" s="3" t="s">
        <v>87</v>
      </c>
    </row>
    <row r="43" spans="1:15" x14ac:dyDescent="0.3">
      <c r="A43" s="3" t="s">
        <v>67</v>
      </c>
      <c r="B43" s="18" t="s">
        <v>65</v>
      </c>
      <c r="C43" s="18" t="s">
        <v>66</v>
      </c>
      <c r="D43" s="18" t="s">
        <v>84</v>
      </c>
      <c r="E43" s="18" t="s">
        <v>85</v>
      </c>
      <c r="F43" s="18"/>
      <c r="G43" s="18"/>
      <c r="I43" s="3" t="s">
        <v>67</v>
      </c>
      <c r="J43" s="3" t="s">
        <v>65</v>
      </c>
      <c r="K43" s="3" t="s">
        <v>66</v>
      </c>
      <c r="L43" s="18" t="s">
        <v>84</v>
      </c>
      <c r="M43" s="18" t="s">
        <v>85</v>
      </c>
      <c r="N43" s="3"/>
      <c r="O43" s="3"/>
    </row>
    <row r="44" spans="1:15" x14ac:dyDescent="0.3">
      <c r="A44" s="3">
        <v>3</v>
      </c>
      <c r="B44" s="19">
        <v>24.260490713139188</v>
      </c>
      <c r="C44" s="19">
        <v>25.223572575097453</v>
      </c>
      <c r="D44" s="17">
        <v>30.592503022974608</v>
      </c>
      <c r="E44" s="17">
        <v>30.411124546553808</v>
      </c>
      <c r="F44" s="17">
        <v>27.621922714441265</v>
      </c>
      <c r="G44" s="17">
        <v>3.3493931151764325</v>
      </c>
      <c r="I44" s="3">
        <v>3</v>
      </c>
      <c r="J44" s="19">
        <v>16.418252694336157</v>
      </c>
      <c r="K44" s="19">
        <v>17.152029351066265</v>
      </c>
      <c r="L44" s="17">
        <v>16.26360338573156</v>
      </c>
      <c r="M44" s="17">
        <v>17.412333736396615</v>
      </c>
      <c r="N44" s="17">
        <v>16.811554791882649</v>
      </c>
      <c r="O44" s="17">
        <v>0.55731366065559473</v>
      </c>
    </row>
    <row r="45" spans="1:15" x14ac:dyDescent="0.3">
      <c r="A45" s="3">
        <v>1</v>
      </c>
      <c r="B45" s="19">
        <v>28.158679202017883</v>
      </c>
      <c r="C45" s="19">
        <v>27.791790873652829</v>
      </c>
      <c r="D45" s="17">
        <v>25.937122128174124</v>
      </c>
      <c r="E45" s="17">
        <v>26.541717049576786</v>
      </c>
      <c r="F45" s="17">
        <v>27.107327313355405</v>
      </c>
      <c r="G45" s="17">
        <v>1.0429327726953543</v>
      </c>
      <c r="I45" s="3">
        <v>1</v>
      </c>
      <c r="J45" s="19">
        <v>16.693418940609948</v>
      </c>
      <c r="K45" s="19">
        <v>15.959642283879841</v>
      </c>
      <c r="L45" s="17">
        <v>15.417170495767836</v>
      </c>
      <c r="M45" s="17">
        <v>15.779927448609433</v>
      </c>
      <c r="N45" s="17">
        <v>15.962539792216765</v>
      </c>
      <c r="O45" s="17">
        <v>0.53695675265253584</v>
      </c>
    </row>
    <row r="46" spans="1:15" x14ac:dyDescent="0.3">
      <c r="A46" s="13">
        <v>0.33333333333333331</v>
      </c>
      <c r="B46" s="19">
        <v>29.67209355652373</v>
      </c>
      <c r="C46" s="19">
        <v>28.342123366200408</v>
      </c>
      <c r="D46" s="17">
        <v>23.458282950423222</v>
      </c>
      <c r="E46" s="17">
        <v>23.276904474002421</v>
      </c>
      <c r="F46" s="17">
        <v>26.187351086787444</v>
      </c>
      <c r="G46" s="17">
        <v>3.3017664986741497</v>
      </c>
      <c r="I46" s="13">
        <v>0.33333333333333331</v>
      </c>
      <c r="J46" s="19">
        <v>13.941756477872046</v>
      </c>
      <c r="K46" s="19">
        <v>14.033478559963308</v>
      </c>
      <c r="L46" s="17">
        <v>14.087061668681985</v>
      </c>
      <c r="M46" s="17">
        <v>14.873035066505443</v>
      </c>
      <c r="N46" s="17">
        <v>14.233832943255695</v>
      </c>
      <c r="O46" s="17">
        <v>0.43033773633525557</v>
      </c>
    </row>
    <row r="47" spans="1:15" x14ac:dyDescent="0.3">
      <c r="A47" s="13">
        <v>0.1111111111111111</v>
      </c>
      <c r="B47" s="19">
        <v>19.490942444393486</v>
      </c>
      <c r="C47" s="19">
        <v>19.857830772758536</v>
      </c>
      <c r="D47" s="17">
        <v>16.082224909310764</v>
      </c>
      <c r="E47" s="17">
        <v>15.840386940749701</v>
      </c>
      <c r="F47" s="17">
        <v>17.817846266803119</v>
      </c>
      <c r="G47" s="17">
        <v>2.151241074882519</v>
      </c>
      <c r="I47" s="13">
        <v>0.1111111111111111</v>
      </c>
      <c r="J47" s="19">
        <v>12.886952533822516</v>
      </c>
      <c r="K47" s="19">
        <v>15.455170832377894</v>
      </c>
      <c r="L47" s="17">
        <v>12.938331318016928</v>
      </c>
      <c r="M47" s="17">
        <v>14.087061668681985</v>
      </c>
      <c r="N47" s="17">
        <v>13.841879088224831</v>
      </c>
      <c r="O47" s="17">
        <v>1.209835807986964</v>
      </c>
    </row>
    <row r="48" spans="1:15" x14ac:dyDescent="0.3">
      <c r="A48" s="13">
        <v>3.7037037037037035E-2</v>
      </c>
      <c r="B48" s="19">
        <v>15.134143545058471</v>
      </c>
      <c r="C48" s="19">
        <v>15.134143545058471</v>
      </c>
      <c r="D48" s="17">
        <v>14.207980652962515</v>
      </c>
      <c r="E48" s="17">
        <v>14.44981862152358</v>
      </c>
      <c r="F48" s="17">
        <v>14.731521591150759</v>
      </c>
      <c r="G48" s="17">
        <v>0.47527555256318615</v>
      </c>
      <c r="I48" s="13">
        <v>3.7037037037037035E-2</v>
      </c>
      <c r="J48" s="19">
        <v>10.685622563632194</v>
      </c>
      <c r="K48" s="19">
        <v>11.281816097225406</v>
      </c>
      <c r="L48" s="17">
        <v>12.212817412333738</v>
      </c>
      <c r="M48" s="17">
        <v>11.487303506650544</v>
      </c>
      <c r="N48" s="17">
        <v>11.41688989496047</v>
      </c>
      <c r="O48" s="17">
        <v>0.63019984405101392</v>
      </c>
    </row>
    <row r="49" spans="1:15" x14ac:dyDescent="0.3">
      <c r="A49" s="13">
        <v>1.2345679012345678E-2</v>
      </c>
      <c r="B49" s="19">
        <v>11.740426507681724</v>
      </c>
      <c r="C49" s="19">
        <v>11.465260261407932</v>
      </c>
      <c r="D49" s="17">
        <v>12.636033857315597</v>
      </c>
      <c r="E49" s="17">
        <v>11.970979443772674</v>
      </c>
      <c r="F49" s="17">
        <v>11.953175017544481</v>
      </c>
      <c r="G49" s="17">
        <v>0.49997864299437234</v>
      </c>
      <c r="I49" s="13">
        <v>1.2345679012345678E-2</v>
      </c>
      <c r="J49" s="19">
        <v>9.6766796606282934</v>
      </c>
      <c r="K49" s="19">
        <v>10.272873194221509</v>
      </c>
      <c r="L49" s="17">
        <v>10.640870616686819</v>
      </c>
      <c r="M49" s="17">
        <v>10.761789600967353</v>
      </c>
      <c r="N49" s="17">
        <v>10.338053268125993</v>
      </c>
      <c r="O49" s="17">
        <v>0.48748139010221619</v>
      </c>
    </row>
    <row r="50" spans="1:15" x14ac:dyDescent="0.3">
      <c r="A50" s="13">
        <v>4.1152263374485592E-3</v>
      </c>
      <c r="B50" s="19">
        <v>11.465260261407932</v>
      </c>
      <c r="C50" s="19">
        <v>11.786287548727355</v>
      </c>
      <c r="D50" s="17">
        <v>11.608222490931077</v>
      </c>
      <c r="E50" s="17">
        <v>11.608222490931077</v>
      </c>
      <c r="F50" s="17">
        <v>11.61699819799936</v>
      </c>
      <c r="G50" s="17">
        <v>0.1314500053759689</v>
      </c>
      <c r="I50" s="13">
        <v>4.1152263374485592E-3</v>
      </c>
      <c r="J50" s="19">
        <v>12.520064205457462</v>
      </c>
      <c r="K50" s="19">
        <v>12.19903691813804</v>
      </c>
      <c r="L50" s="17">
        <v>11.124546553808948</v>
      </c>
      <c r="M50" s="17">
        <v>10.580411124546554</v>
      </c>
      <c r="N50" s="17">
        <v>11.606014700487751</v>
      </c>
      <c r="O50" s="17">
        <v>0.90753073766345649</v>
      </c>
    </row>
    <row r="51" spans="1:15" x14ac:dyDescent="0.3">
      <c r="A51" s="13">
        <v>1.3717421124828531E-3</v>
      </c>
      <c r="B51" s="19">
        <v>11.006649850951614</v>
      </c>
      <c r="C51" s="19">
        <v>10.685622563632194</v>
      </c>
      <c r="D51" s="17">
        <v>11.305925030229746</v>
      </c>
      <c r="E51" s="17">
        <v>9.9153567110036303</v>
      </c>
      <c r="F51" s="17">
        <v>10.728388538954297</v>
      </c>
      <c r="G51" s="17">
        <v>0.59828294265486093</v>
      </c>
      <c r="I51" s="13">
        <v>1.3717421124828531E-3</v>
      </c>
      <c r="J51" s="19">
        <v>12.520064205457462</v>
      </c>
      <c r="K51" s="19">
        <v>11.878009630818619</v>
      </c>
      <c r="L51" s="17">
        <v>10.519951632406288</v>
      </c>
      <c r="M51" s="17">
        <v>9.5525997581620317</v>
      </c>
      <c r="N51" s="17">
        <v>11.117656306711101</v>
      </c>
      <c r="O51" s="17">
        <v>1.3356069743490735</v>
      </c>
    </row>
    <row r="53" spans="1:15" x14ac:dyDescent="0.3">
      <c r="A53" s="3" t="s">
        <v>75</v>
      </c>
      <c r="B53" s="90" t="s">
        <v>81</v>
      </c>
      <c r="C53" s="90"/>
      <c r="D53" s="3"/>
      <c r="E53" s="3"/>
      <c r="F53" s="3" t="s">
        <v>63</v>
      </c>
      <c r="G53" s="3" t="s">
        <v>87</v>
      </c>
      <c r="I53" s="3" t="s">
        <v>79</v>
      </c>
      <c r="J53" s="90" t="s">
        <v>81</v>
      </c>
      <c r="K53" s="90"/>
      <c r="L53" s="3"/>
      <c r="M53" s="3"/>
      <c r="N53" s="3" t="s">
        <v>63</v>
      </c>
      <c r="O53" s="3" t="s">
        <v>87</v>
      </c>
    </row>
    <row r="54" spans="1:15" x14ac:dyDescent="0.3">
      <c r="A54" s="3" t="s">
        <v>67</v>
      </c>
      <c r="B54" s="3" t="s">
        <v>65</v>
      </c>
      <c r="C54" s="3" t="s">
        <v>66</v>
      </c>
      <c r="D54" s="18" t="s">
        <v>84</v>
      </c>
      <c r="E54" s="18" t="s">
        <v>85</v>
      </c>
      <c r="F54" s="18"/>
      <c r="G54" s="18"/>
      <c r="I54" s="3" t="s">
        <v>67</v>
      </c>
      <c r="J54" s="3" t="s">
        <v>65</v>
      </c>
      <c r="K54" s="3" t="s">
        <v>66</v>
      </c>
      <c r="L54" s="18" t="s">
        <v>84</v>
      </c>
      <c r="M54" s="18" t="s">
        <v>85</v>
      </c>
      <c r="N54" s="3"/>
      <c r="O54" s="3"/>
    </row>
    <row r="55" spans="1:15" x14ac:dyDescent="0.3">
      <c r="A55" s="3">
        <v>3</v>
      </c>
      <c r="B55" s="19">
        <v>24.581518000458608</v>
      </c>
      <c r="C55" s="19">
        <v>23.985324466865396</v>
      </c>
      <c r="D55" s="17">
        <v>33.01088270858525</v>
      </c>
      <c r="E55" s="17">
        <v>33.313180169286582</v>
      </c>
      <c r="F55" s="17">
        <v>28.722726336298958</v>
      </c>
      <c r="G55" s="17">
        <v>5.1333268750819672</v>
      </c>
      <c r="I55" s="3">
        <v>3</v>
      </c>
      <c r="J55" s="19">
        <v>18.115111213024534</v>
      </c>
      <c r="K55" s="19">
        <v>17.152029351066265</v>
      </c>
      <c r="L55" s="17">
        <v>18.37968561064087</v>
      </c>
      <c r="M55" s="17">
        <v>17.472793228536879</v>
      </c>
      <c r="N55" s="17">
        <v>17.779904850817136</v>
      </c>
      <c r="O55" s="17">
        <v>0.56587556254182181</v>
      </c>
    </row>
    <row r="56" spans="1:15" x14ac:dyDescent="0.3">
      <c r="A56" s="3">
        <v>1</v>
      </c>
      <c r="B56" s="19">
        <v>24.122907590002288</v>
      </c>
      <c r="C56" s="19">
        <v>26.232515478101348</v>
      </c>
      <c r="D56" s="17">
        <v>26.60217654171705</v>
      </c>
      <c r="E56" s="17">
        <v>28.174123337363969</v>
      </c>
      <c r="F56" s="17">
        <v>26.28293073679616</v>
      </c>
      <c r="G56" s="17">
        <v>1.6680096951553354</v>
      </c>
      <c r="I56" s="3">
        <v>1</v>
      </c>
      <c r="J56" s="19">
        <v>18.665443705572113</v>
      </c>
      <c r="K56" s="19">
        <v>19.169915157074062</v>
      </c>
      <c r="L56" s="17">
        <v>18.440145102781138</v>
      </c>
      <c r="M56" s="17">
        <v>17.593712212817412</v>
      </c>
      <c r="N56" s="17">
        <v>18.467304044561182</v>
      </c>
      <c r="O56" s="17">
        <v>0.65747547414337326</v>
      </c>
    </row>
    <row r="57" spans="1:15" x14ac:dyDescent="0.3">
      <c r="A57" s="13">
        <v>0.33333333333333331</v>
      </c>
      <c r="B57" s="19">
        <v>26.736986929603297</v>
      </c>
      <c r="C57" s="19">
        <v>28.021096078880987</v>
      </c>
      <c r="D57" s="17">
        <v>29.322853688029021</v>
      </c>
      <c r="E57" s="17">
        <v>30.89480048367594</v>
      </c>
      <c r="F57" s="17">
        <v>28.74393429504731</v>
      </c>
      <c r="G57" s="17">
        <v>1.7806090567901514</v>
      </c>
      <c r="I57" s="13">
        <v>0.33333333333333331</v>
      </c>
      <c r="J57" s="19">
        <v>16.785141022701215</v>
      </c>
      <c r="K57" s="19">
        <v>17.060307268975006</v>
      </c>
      <c r="L57" s="17">
        <v>16.021765417170496</v>
      </c>
      <c r="M57" s="17">
        <v>16.082224909310764</v>
      </c>
      <c r="N57" s="17">
        <v>16.487359654539372</v>
      </c>
      <c r="O57" s="17">
        <v>0.51570497631054435</v>
      </c>
    </row>
    <row r="58" spans="1:15" x14ac:dyDescent="0.3">
      <c r="A58" s="13">
        <v>0.1111111111111111</v>
      </c>
      <c r="B58" s="19">
        <v>22.976381563861498</v>
      </c>
      <c r="C58" s="19">
        <v>22.976381563861498</v>
      </c>
      <c r="D58" s="17">
        <v>23.700120918984283</v>
      </c>
      <c r="E58" s="17">
        <v>24.062877871825879</v>
      </c>
      <c r="F58" s="17">
        <v>23.428940479633287</v>
      </c>
      <c r="G58" s="17">
        <v>0.54314963941674432</v>
      </c>
      <c r="I58" s="13">
        <v>0.1111111111111111</v>
      </c>
      <c r="J58" s="19">
        <v>14.950699380875944</v>
      </c>
      <c r="K58" s="19">
        <v>17.794083925705113</v>
      </c>
      <c r="L58" s="17">
        <v>16.92865779927449</v>
      </c>
      <c r="M58" s="17">
        <v>17.230955259975815</v>
      </c>
      <c r="N58" s="17">
        <v>16.72609909145784</v>
      </c>
      <c r="O58" s="17">
        <v>1.2367356925281778</v>
      </c>
    </row>
    <row r="59" spans="1:15" x14ac:dyDescent="0.3">
      <c r="A59" s="13">
        <v>3.7037037037037035E-2</v>
      </c>
      <c r="B59" s="19">
        <v>17.289612474203164</v>
      </c>
      <c r="C59" s="19">
        <v>16.46411373538179</v>
      </c>
      <c r="D59" s="17">
        <v>17.956469165659009</v>
      </c>
      <c r="E59" s="17">
        <v>16.989117291414754</v>
      </c>
      <c r="F59" s="17">
        <v>17.174828166664678</v>
      </c>
      <c r="G59" s="17">
        <v>0.62282732240051797</v>
      </c>
      <c r="I59" s="13">
        <v>3.7037037037037035E-2</v>
      </c>
      <c r="J59" s="19">
        <v>13.712451272643886</v>
      </c>
      <c r="K59" s="19">
        <v>13.207979821141937</v>
      </c>
      <c r="L59" s="17">
        <v>11.850060459492141</v>
      </c>
      <c r="M59" s="17">
        <v>10.701330108827086</v>
      </c>
      <c r="N59" s="17">
        <v>12.367955415526263</v>
      </c>
      <c r="O59" s="17">
        <v>1.3612696536998252</v>
      </c>
    </row>
    <row r="60" spans="1:15" x14ac:dyDescent="0.3">
      <c r="A60" s="13">
        <v>1.2345679012345678E-2</v>
      </c>
      <c r="B60" s="19">
        <v>13.437285026370095</v>
      </c>
      <c r="C60" s="19">
        <v>13.25384086218757</v>
      </c>
      <c r="D60" s="17">
        <v>12.817412333736398</v>
      </c>
      <c r="E60" s="17">
        <v>13.784764207980654</v>
      </c>
      <c r="F60" s="17">
        <v>13.32332560756868</v>
      </c>
      <c r="G60" s="17">
        <v>0.4027773171220434</v>
      </c>
      <c r="I60" s="13">
        <v>1.2345679012345678E-2</v>
      </c>
      <c r="J60" s="19">
        <v>12.795230451731253</v>
      </c>
      <c r="K60" s="19">
        <v>13.116257739050674</v>
      </c>
      <c r="L60" s="17">
        <v>10.640870616686819</v>
      </c>
      <c r="M60" s="17">
        <v>10.217654171704959</v>
      </c>
      <c r="N60" s="17">
        <v>11.692503244793427</v>
      </c>
      <c r="O60" s="17">
        <v>1.4746971582584683</v>
      </c>
    </row>
    <row r="61" spans="1:15" x14ac:dyDescent="0.3">
      <c r="A61" s="13">
        <v>4.1152263374485592E-3</v>
      </c>
      <c r="B61" s="19">
        <v>12.061453795001144</v>
      </c>
      <c r="C61" s="19">
        <v>11.878009630818619</v>
      </c>
      <c r="D61" s="17">
        <v>12.091898428053206</v>
      </c>
      <c r="E61" s="17">
        <v>11.910519951632406</v>
      </c>
      <c r="F61" s="17">
        <v>11.985470451376344</v>
      </c>
      <c r="G61" s="17">
        <v>0.10687342684181875</v>
      </c>
      <c r="I61" s="13">
        <v>4.1152263374485592E-3</v>
      </c>
      <c r="J61" s="19">
        <v>11.786287548727355</v>
      </c>
      <c r="K61" s="19">
        <v>11.694565466636091</v>
      </c>
      <c r="L61" s="17">
        <v>10.822249093107617</v>
      </c>
      <c r="M61" s="17">
        <v>10.036275695284161</v>
      </c>
      <c r="N61" s="17">
        <v>11.084844450938805</v>
      </c>
      <c r="O61" s="17">
        <v>0.82305019970589599</v>
      </c>
    </row>
    <row r="62" spans="1:15" x14ac:dyDescent="0.3">
      <c r="A62" s="13">
        <v>1.3717421124828531E-3</v>
      </c>
      <c r="B62" s="19">
        <v>10.548039440495298</v>
      </c>
      <c r="C62" s="19">
        <v>11.281816097225406</v>
      </c>
      <c r="D62" s="17">
        <v>11.970979443772674</v>
      </c>
      <c r="E62" s="17">
        <v>11.850060459492141</v>
      </c>
      <c r="F62" s="17">
        <v>11.412723860246381</v>
      </c>
      <c r="G62" s="17">
        <v>0.65005860909037794</v>
      </c>
      <c r="I62" s="13">
        <v>1.3717421124828531E-3</v>
      </c>
      <c r="J62" s="19">
        <v>11.786287548727355</v>
      </c>
      <c r="K62" s="19">
        <v>11.740426507681724</v>
      </c>
      <c r="L62" s="17">
        <v>10.157194679564693</v>
      </c>
      <c r="M62" s="17">
        <v>10.45949214026602</v>
      </c>
      <c r="N62" s="17">
        <v>11.035850219059949</v>
      </c>
      <c r="O62" s="17">
        <v>0.84927579429439159</v>
      </c>
    </row>
    <row r="65" spans="1:19" x14ac:dyDescent="0.3">
      <c r="O65" s="21"/>
      <c r="P65" s="21"/>
      <c r="Q65" s="21"/>
      <c r="R65" s="21"/>
      <c r="S65" s="21"/>
    </row>
    <row r="66" spans="1:19" x14ac:dyDescent="0.3">
      <c r="A66" s="3" t="s">
        <v>70</v>
      </c>
      <c r="B66" s="90" t="s">
        <v>81</v>
      </c>
      <c r="C66" s="90"/>
      <c r="D66" s="3"/>
      <c r="E66" s="3"/>
      <c r="F66" s="3" t="s">
        <v>63</v>
      </c>
      <c r="G66" s="3" t="s">
        <v>87</v>
      </c>
      <c r="I66" s="3" t="s">
        <v>80</v>
      </c>
      <c r="J66" s="90" t="s">
        <v>81</v>
      </c>
      <c r="K66" s="90"/>
      <c r="L66" s="3"/>
      <c r="M66" s="3"/>
      <c r="N66" s="3" t="s">
        <v>63</v>
      </c>
      <c r="O66" s="3" t="s">
        <v>87</v>
      </c>
    </row>
    <row r="67" spans="1:19" x14ac:dyDescent="0.3">
      <c r="A67" s="3" t="s">
        <v>67</v>
      </c>
      <c r="B67" s="3" t="s">
        <v>65</v>
      </c>
      <c r="C67" s="3" t="s">
        <v>66</v>
      </c>
      <c r="D67" s="18" t="s">
        <v>84</v>
      </c>
      <c r="E67" s="18" t="s">
        <v>85</v>
      </c>
      <c r="F67" s="20"/>
      <c r="G67" s="20"/>
      <c r="I67" s="3" t="s">
        <v>67</v>
      </c>
      <c r="J67" s="3" t="s">
        <v>65</v>
      </c>
      <c r="K67" s="3" t="s">
        <v>66</v>
      </c>
      <c r="L67" s="18" t="s">
        <v>84</v>
      </c>
      <c r="M67" s="18" t="s">
        <v>85</v>
      </c>
    </row>
    <row r="68" spans="1:19" x14ac:dyDescent="0.3">
      <c r="A68" s="3">
        <v>3</v>
      </c>
      <c r="B68" s="17">
        <v>36.151603498542279</v>
      </c>
      <c r="C68" s="17">
        <v>38.753083651042843</v>
      </c>
      <c r="D68" s="17">
        <v>46.669067338854873</v>
      </c>
      <c r="E68" s="17">
        <v>50.846236946344973</v>
      </c>
      <c r="F68" s="17">
        <v>43.104997858696244</v>
      </c>
      <c r="G68" s="17">
        <v>6.82930509569203</v>
      </c>
      <c r="I68" s="3">
        <v>3</v>
      </c>
      <c r="J68" s="17">
        <v>14.756671899529042</v>
      </c>
      <c r="K68" s="17">
        <v>15.384615384615389</v>
      </c>
      <c r="L68" s="17">
        <v>19.805545552754772</v>
      </c>
      <c r="M68" s="17">
        <v>17.788980914656101</v>
      </c>
      <c r="N68" s="17">
        <v>16.933953437888825</v>
      </c>
      <c r="O68" s="17">
        <v>2.3179097308272452</v>
      </c>
    </row>
    <row r="69" spans="1:19" x14ac:dyDescent="0.3">
      <c r="A69" s="3">
        <v>1</v>
      </c>
      <c r="B69" s="17">
        <v>32.653061224489797</v>
      </c>
      <c r="C69" s="17">
        <v>30.903790087463555</v>
      </c>
      <c r="D69" s="17">
        <v>44.94058336334173</v>
      </c>
      <c r="E69" s="17">
        <v>43.068059056535823</v>
      </c>
      <c r="F69" s="17">
        <v>37.891373432957728</v>
      </c>
      <c r="G69" s="17">
        <v>7.135723987832769</v>
      </c>
      <c r="I69" s="3">
        <v>1</v>
      </c>
      <c r="J69" s="17">
        <v>15.74344023323615</v>
      </c>
      <c r="K69" s="17">
        <v>15.51917470284817</v>
      </c>
      <c r="L69" s="17">
        <v>20.381706877925815</v>
      </c>
      <c r="M69" s="17">
        <v>19.877565718401151</v>
      </c>
      <c r="N69" s="17">
        <v>17.880471883102821</v>
      </c>
      <c r="O69" s="17">
        <v>2.6068620301251277</v>
      </c>
    </row>
    <row r="70" spans="1:19" x14ac:dyDescent="0.3">
      <c r="A70" s="13">
        <v>0.33333333333333331</v>
      </c>
      <c r="B70" s="17">
        <v>35.075128952679975</v>
      </c>
      <c r="C70" s="17">
        <v>35.747925543843913</v>
      </c>
      <c r="D70" s="17">
        <v>42.131796903132873</v>
      </c>
      <c r="E70" s="17">
        <v>41.91573640619373</v>
      </c>
      <c r="F70" s="17">
        <v>38.717646951462626</v>
      </c>
      <c r="G70" s="17">
        <v>3.8284626445992949</v>
      </c>
      <c r="I70" s="13">
        <v>0.33333333333333331</v>
      </c>
      <c r="J70" s="17">
        <v>15.115496748149813</v>
      </c>
      <c r="K70" s="17">
        <v>15.698587127158557</v>
      </c>
      <c r="L70" s="17">
        <v>17.356859920777815</v>
      </c>
      <c r="M70" s="17">
        <v>17.284839755131436</v>
      </c>
      <c r="N70" s="17">
        <v>16.363945887804405</v>
      </c>
      <c r="O70" s="17">
        <v>1.1306710878100268</v>
      </c>
    </row>
    <row r="71" spans="1:19" x14ac:dyDescent="0.3">
      <c r="A71" s="13">
        <v>0.1111111111111111</v>
      </c>
      <c r="B71" s="17">
        <v>24.84862076698812</v>
      </c>
      <c r="C71" s="17">
        <v>26.059654631083202</v>
      </c>
      <c r="D71" s="17">
        <v>30.680590565358301</v>
      </c>
      <c r="E71" s="17">
        <v>32.697155203456965</v>
      </c>
      <c r="F71" s="17">
        <v>28.57150529172165</v>
      </c>
      <c r="G71" s="17">
        <v>3.7255196868590401</v>
      </c>
      <c r="I71" s="13">
        <v>0.1111111111111111</v>
      </c>
      <c r="J71" s="17">
        <v>14.577259475218661</v>
      </c>
      <c r="K71" s="17">
        <v>14.173581520520298</v>
      </c>
      <c r="L71" s="17">
        <v>17.068779258192293</v>
      </c>
      <c r="M71" s="17">
        <v>16.492617933021247</v>
      </c>
      <c r="N71" s="17">
        <v>15.578059546738125</v>
      </c>
      <c r="O71" s="17">
        <v>1.4180763507090486</v>
      </c>
    </row>
    <row r="72" spans="1:19" x14ac:dyDescent="0.3">
      <c r="A72" s="13">
        <v>3.7037037037037035E-2</v>
      </c>
      <c r="B72" s="17">
        <v>17.358152052029606</v>
      </c>
      <c r="C72" s="17">
        <v>17.806683112805565</v>
      </c>
      <c r="D72" s="17">
        <v>22.902412675549154</v>
      </c>
      <c r="E72" s="17">
        <v>23.406553835073819</v>
      </c>
      <c r="F72" s="17">
        <v>20.368450418864537</v>
      </c>
      <c r="G72" s="17">
        <v>3.228807059046535</v>
      </c>
      <c r="I72" s="13">
        <v>3.7037037037037035E-2</v>
      </c>
      <c r="J72" s="17">
        <v>13.007400762502803</v>
      </c>
      <c r="K72" s="17">
        <v>12.514016595649251</v>
      </c>
      <c r="L72" s="17">
        <v>15.052214620093624</v>
      </c>
      <c r="M72" s="17">
        <v>15.484335613971911</v>
      </c>
      <c r="N72" s="17">
        <v>14.014491898054398</v>
      </c>
      <c r="O72" s="17">
        <v>1.4722961302551789</v>
      </c>
    </row>
    <row r="73" spans="1:19" x14ac:dyDescent="0.3">
      <c r="A73" s="13">
        <v>1.2345679012345678E-2</v>
      </c>
      <c r="B73" s="17">
        <v>11.930926216640504</v>
      </c>
      <c r="C73" s="17">
        <v>12.693429019959632</v>
      </c>
      <c r="D73" s="17">
        <v>15.340295282679151</v>
      </c>
      <c r="E73" s="17">
        <v>15.556355779618293</v>
      </c>
      <c r="F73" s="17">
        <v>13.880251574724396</v>
      </c>
      <c r="G73" s="17">
        <v>1.839335936596727</v>
      </c>
      <c r="I73" s="13">
        <v>1.2345679012345678E-2</v>
      </c>
      <c r="J73" s="17">
        <v>11.661807580174928</v>
      </c>
      <c r="K73" s="17">
        <v>11.751513792330121</v>
      </c>
      <c r="L73" s="17">
        <v>13.611811307166004</v>
      </c>
      <c r="M73" s="17">
        <v>13.395750810226865</v>
      </c>
      <c r="N73" s="17">
        <v>12.605220872474479</v>
      </c>
      <c r="O73" s="17">
        <v>1.0419543023362954</v>
      </c>
    </row>
    <row r="74" spans="1:19" x14ac:dyDescent="0.3">
      <c r="A74" s="13">
        <v>4.1152263374485592E-3</v>
      </c>
      <c r="B74" s="17">
        <v>11.572101368019737</v>
      </c>
      <c r="C74" s="17">
        <v>10.540479928235031</v>
      </c>
      <c r="D74" s="17">
        <v>12.963629816348577</v>
      </c>
      <c r="E74" s="17">
        <v>12.891609650702195</v>
      </c>
      <c r="F74" s="17">
        <v>11.991955190826385</v>
      </c>
      <c r="G74" s="17">
        <v>1.1599694529739599</v>
      </c>
      <c r="I74" s="13">
        <v>4.1152263374485592E-3</v>
      </c>
      <c r="J74" s="17">
        <v>11.796366898407715</v>
      </c>
      <c r="K74" s="17">
        <v>11.258129625476565</v>
      </c>
      <c r="L74" s="17">
        <v>13.2517104789341</v>
      </c>
      <c r="M74" s="17">
        <v>8.9305005401512414</v>
      </c>
      <c r="N74" s="17">
        <v>11.309176885742406</v>
      </c>
      <c r="O74" s="17">
        <v>1.7955034436961854</v>
      </c>
    </row>
    <row r="75" spans="1:19" x14ac:dyDescent="0.3">
      <c r="A75" s="13">
        <v>1.3717421124828531E-3</v>
      </c>
      <c r="B75" s="17">
        <v>9.4191522762951347</v>
      </c>
      <c r="C75" s="17">
        <v>10.495626822157437</v>
      </c>
      <c r="D75" s="17">
        <v>12.53150882247029</v>
      </c>
      <c r="E75" s="17">
        <v>12.891609650702195</v>
      </c>
      <c r="F75" s="17">
        <v>11.334474392906262</v>
      </c>
      <c r="G75" s="17">
        <v>1.6562694722341158</v>
      </c>
      <c r="I75" s="13">
        <v>1.3717421124828531E-3</v>
      </c>
      <c r="J75" s="17">
        <v>10.316214397847052</v>
      </c>
      <c r="K75" s="17">
        <v>10.989010989010989</v>
      </c>
      <c r="L75" s="17">
        <v>11.955347497299245</v>
      </c>
      <c r="M75" s="17">
        <v>12.243428159884767</v>
      </c>
      <c r="N75" s="17">
        <v>11.376000261010512</v>
      </c>
      <c r="O75" s="17">
        <v>0.88712666370040572</v>
      </c>
    </row>
    <row r="78" spans="1:19" x14ac:dyDescent="0.3">
      <c r="A78" s="22" t="s">
        <v>109</v>
      </c>
      <c r="B78" s="21"/>
      <c r="C78" s="21"/>
      <c r="D78" s="21"/>
      <c r="E78" s="21"/>
      <c r="F78" s="21"/>
      <c r="G78" s="21"/>
      <c r="H78" s="21"/>
      <c r="I78" s="21"/>
    </row>
    <row r="80" spans="1:19" ht="15" thickBot="1" x14ac:dyDescent="0.35">
      <c r="A80" s="48"/>
    </row>
    <row r="81" spans="1:17" ht="15" thickBot="1" x14ac:dyDescent="0.35">
      <c r="A81" s="76" t="s">
        <v>112</v>
      </c>
      <c r="B81" s="23"/>
      <c r="C81" s="23"/>
      <c r="D81" s="86" t="s">
        <v>113</v>
      </c>
      <c r="E81" s="87"/>
      <c r="F81" s="87"/>
      <c r="G81" s="87"/>
      <c r="H81" s="88"/>
      <c r="I81" s="77" t="s">
        <v>114</v>
      </c>
      <c r="J81" s="78" t="s">
        <v>115</v>
      </c>
      <c r="K81" s="86" t="s">
        <v>116</v>
      </c>
      <c r="L81" s="87"/>
      <c r="M81" s="87"/>
      <c r="N81" s="87"/>
      <c r="O81" s="88"/>
      <c r="P81" s="78" t="s">
        <v>114</v>
      </c>
      <c r="Q81" s="78" t="s">
        <v>115</v>
      </c>
    </row>
    <row r="82" spans="1:17" ht="18.600000000000001" thickBot="1" x14ac:dyDescent="0.4">
      <c r="A82" s="67"/>
      <c r="D82" s="59"/>
      <c r="E82" s="59"/>
      <c r="F82" s="59"/>
      <c r="I82" s="59"/>
      <c r="J82" s="59"/>
      <c r="K82" s="59"/>
      <c r="L82" s="59"/>
      <c r="M82" s="59"/>
      <c r="P82" s="59"/>
      <c r="Q82" s="59"/>
    </row>
    <row r="83" spans="1:17" ht="16.2" thickBot="1" x14ac:dyDescent="0.35">
      <c r="A83" s="71" t="s">
        <v>117</v>
      </c>
      <c r="D83" s="49">
        <v>5.1766666666666667</v>
      </c>
      <c r="E83" s="50">
        <v>12.030000000000001</v>
      </c>
      <c r="F83" s="51">
        <v>15.143333333333333</v>
      </c>
      <c r="G83" s="52">
        <v>13.086666666666668</v>
      </c>
      <c r="H83" s="53">
        <v>8.1566666666666663</v>
      </c>
      <c r="I83" s="60">
        <f>AVERAGE(D83:H83)</f>
        <v>10.718666666666667</v>
      </c>
      <c r="J83" s="61">
        <f>STDEV(D83:H83)</f>
        <v>4.0056928933151612</v>
      </c>
      <c r="K83" s="49">
        <v>3.3933333333333331</v>
      </c>
      <c r="L83" s="50">
        <v>3.7166666666666668</v>
      </c>
      <c r="M83" s="51">
        <v>5.7633333333333328</v>
      </c>
      <c r="N83" s="52">
        <v>4.916666666666667</v>
      </c>
      <c r="O83" s="53">
        <v>3.2900000000000005</v>
      </c>
      <c r="P83" s="60">
        <f>AVERAGE(K83:O83)</f>
        <v>4.2159999999999993</v>
      </c>
      <c r="Q83" s="61">
        <f>STDEV(K83:O83)</f>
        <v>1.0803661930619231</v>
      </c>
    </row>
    <row r="84" spans="1:17" ht="16.2" thickBot="1" x14ac:dyDescent="0.35">
      <c r="A84" s="71" t="s">
        <v>118</v>
      </c>
      <c r="D84" s="49">
        <v>6.080000000000001</v>
      </c>
      <c r="E84" s="50">
        <v>5.8</v>
      </c>
      <c r="F84" s="51">
        <v>12.196666666666665</v>
      </c>
      <c r="G84" s="52">
        <v>10.436666666666667</v>
      </c>
      <c r="H84" s="53">
        <v>13.586666666666666</v>
      </c>
      <c r="I84" s="60">
        <f>AVERAGE(D84:H84)</f>
        <v>9.620000000000001</v>
      </c>
      <c r="J84" s="61">
        <f>STDEV(D84:H84)</f>
        <v>3.5413486131698435</v>
      </c>
      <c r="K84" s="49">
        <v>8.7099999999999991</v>
      </c>
      <c r="L84" s="50">
        <v>7.333333333333333</v>
      </c>
      <c r="M84" s="51">
        <v>9.5833333333333339</v>
      </c>
      <c r="N84" s="52">
        <v>8.8533333333333335</v>
      </c>
      <c r="O84" s="53">
        <v>9.25</v>
      </c>
      <c r="P84" s="60">
        <f>AVERAGE(K84:O84)</f>
        <v>8.7459999999999987</v>
      </c>
      <c r="Q84" s="61">
        <f>STDEV(K84:O84)</f>
        <v>0.86075354583450137</v>
      </c>
    </row>
    <row r="85" spans="1:17" ht="16.2" thickBot="1" x14ac:dyDescent="0.35">
      <c r="A85" s="71" t="s">
        <v>110</v>
      </c>
      <c r="D85" s="54">
        <v>1.6066666666666667</v>
      </c>
      <c r="E85" s="55">
        <v>2.3299999999999996</v>
      </c>
      <c r="F85" s="56">
        <v>2.7966666666666669</v>
      </c>
      <c r="G85" s="57">
        <v>2.0133333333333332</v>
      </c>
      <c r="H85" s="58">
        <v>1.5533333333333335</v>
      </c>
      <c r="I85" s="60">
        <f>AVERAGE(D85:H85)</f>
        <v>2.0599999999999996</v>
      </c>
      <c r="J85" s="61">
        <f>STDEV(D85:H85)</f>
        <v>0.51960989640733879</v>
      </c>
      <c r="K85" s="54">
        <v>2.3933333333333331</v>
      </c>
      <c r="L85" s="55">
        <v>2.2266666666666666</v>
      </c>
      <c r="M85" s="56">
        <v>2.4833333333333338</v>
      </c>
      <c r="N85" s="57">
        <v>1.8566666666666667</v>
      </c>
      <c r="O85" s="58">
        <v>1.87</v>
      </c>
      <c r="P85" s="60">
        <f>AVERAGE(K85:O85)</f>
        <v>2.1660000000000004</v>
      </c>
      <c r="Q85" s="61">
        <f>STDEV(K85:O85)</f>
        <v>0.29127497508558897</v>
      </c>
    </row>
    <row r="86" spans="1:17" ht="16.2" thickBot="1" x14ac:dyDescent="0.35">
      <c r="A86" s="71" t="s">
        <v>119</v>
      </c>
      <c r="D86" s="62">
        <v>16.93</v>
      </c>
      <c r="E86" s="63">
        <v>23.203333333333333</v>
      </c>
      <c r="F86" s="64">
        <v>23.52</v>
      </c>
      <c r="G86" s="65">
        <v>22.813333333333333</v>
      </c>
      <c r="H86" s="66">
        <v>22.539999999999996</v>
      </c>
      <c r="I86" s="60">
        <f t="shared" ref="I86:I92" si="0">AVERAGE(D86:H86)</f>
        <v>21.801333333333332</v>
      </c>
      <c r="J86" s="61">
        <f t="shared" ref="J86:J92" si="1">STDEV(D86:H86)</f>
        <v>2.7485941861249654</v>
      </c>
      <c r="K86" s="62">
        <v>8.3899999999999988</v>
      </c>
      <c r="L86" s="63">
        <v>7.7166666666666659</v>
      </c>
      <c r="M86" s="64">
        <v>10.323333333333332</v>
      </c>
      <c r="N86" s="65">
        <v>9.77</v>
      </c>
      <c r="O86" s="66">
        <v>9.4166666666666661</v>
      </c>
      <c r="P86" s="60">
        <f t="shared" ref="P86" si="2">AVERAGE(K86:O86)</f>
        <v>9.1233333333333331</v>
      </c>
      <c r="Q86" s="61">
        <f t="shared" ref="Q86" si="3">STDEV(K86:O86)</f>
        <v>1.0560197809595044</v>
      </c>
    </row>
    <row r="87" spans="1:17" ht="16.2" thickBot="1" x14ac:dyDescent="0.35">
      <c r="A87" s="47"/>
      <c r="D87" s="68"/>
      <c r="E87" s="68"/>
      <c r="F87" s="68"/>
      <c r="G87" s="69"/>
      <c r="H87" s="69"/>
      <c r="I87" s="60"/>
      <c r="J87" s="61"/>
      <c r="K87" s="68"/>
      <c r="L87" s="68"/>
      <c r="M87" s="68"/>
      <c r="N87" s="69"/>
      <c r="O87" s="69"/>
      <c r="P87" s="60"/>
      <c r="Q87" s="61"/>
    </row>
    <row r="88" spans="1:17" ht="16.2" thickBot="1" x14ac:dyDescent="0.35">
      <c r="A88" s="73" t="s">
        <v>110</v>
      </c>
      <c r="B88" s="89" t="s">
        <v>111</v>
      </c>
      <c r="C88" s="89"/>
      <c r="D88" s="74">
        <v>1.4666666666666668</v>
      </c>
      <c r="E88" s="55">
        <v>2.3433333333333333</v>
      </c>
      <c r="F88" s="56">
        <v>2.5866666666666664</v>
      </c>
      <c r="G88" s="57">
        <v>1.8866666666666667</v>
      </c>
      <c r="H88" s="58">
        <v>1.5866666666666667</v>
      </c>
      <c r="I88" s="60">
        <f t="shared" si="0"/>
        <v>1.9739999999999998</v>
      </c>
      <c r="J88" s="61">
        <f t="shared" si="1"/>
        <v>0.48135457016862648</v>
      </c>
      <c r="K88" s="54">
        <v>1.9566666666666668</v>
      </c>
      <c r="L88" s="55">
        <v>2.1999999999999997</v>
      </c>
      <c r="M88" s="56">
        <v>2.1300000000000003</v>
      </c>
      <c r="N88" s="57">
        <v>1.6499999999999997</v>
      </c>
      <c r="O88" s="58">
        <v>1.7299999999999998</v>
      </c>
      <c r="P88" s="60">
        <f t="shared" ref="P88:P89" si="4">AVERAGE(K88:O88)</f>
        <v>1.9333333333333331</v>
      </c>
      <c r="Q88" s="61">
        <f t="shared" ref="Q88:Q89" si="5">STDEV(K88:O88)</f>
        <v>0.24080882228209299</v>
      </c>
    </row>
    <row r="89" spans="1:17" ht="16.2" thickBot="1" x14ac:dyDescent="0.35">
      <c r="A89" s="73" t="s">
        <v>119</v>
      </c>
      <c r="B89" s="89" t="s">
        <v>111</v>
      </c>
      <c r="C89" s="89"/>
      <c r="D89" s="75">
        <v>1.8533333333333333</v>
      </c>
      <c r="E89" s="63">
        <v>2.4499999999999997</v>
      </c>
      <c r="F89" s="64">
        <v>2.7899999999999996</v>
      </c>
      <c r="G89" s="65">
        <v>2.11</v>
      </c>
      <c r="H89" s="66">
        <v>1.7700000000000002</v>
      </c>
      <c r="I89" s="60">
        <f t="shared" si="0"/>
        <v>2.1946666666666661</v>
      </c>
      <c r="J89" s="61">
        <f t="shared" si="1"/>
        <v>0.42533385579905358</v>
      </c>
      <c r="K89" s="62">
        <v>1.9633333333333332</v>
      </c>
      <c r="L89" s="63">
        <v>2.2899999999999996</v>
      </c>
      <c r="M89" s="64">
        <v>2.1233333333333335</v>
      </c>
      <c r="N89" s="65">
        <v>1.7733333333333334</v>
      </c>
      <c r="O89" s="66">
        <v>1.7766666666666666</v>
      </c>
      <c r="P89" s="60">
        <f t="shared" si="4"/>
        <v>1.9853333333333336</v>
      </c>
      <c r="Q89" s="61">
        <f t="shared" si="5"/>
        <v>0.22407340067238352</v>
      </c>
    </row>
    <row r="90" spans="1:17" ht="16.2" thickBot="1" x14ac:dyDescent="0.35">
      <c r="A90" s="72"/>
      <c r="D90" s="69"/>
      <c r="E90" s="69"/>
      <c r="F90" s="69"/>
      <c r="G90" s="69"/>
      <c r="H90" s="69"/>
      <c r="I90" s="60"/>
      <c r="J90" s="61"/>
      <c r="K90" s="69"/>
      <c r="L90" s="69"/>
      <c r="M90" s="69"/>
      <c r="N90" s="70"/>
      <c r="O90" s="70"/>
      <c r="P90" s="60"/>
      <c r="Q90" s="61"/>
    </row>
    <row r="91" spans="1:17" ht="16.2" thickBot="1" x14ac:dyDescent="0.35">
      <c r="A91" s="73" t="s">
        <v>110</v>
      </c>
      <c r="B91" s="89" t="s">
        <v>120</v>
      </c>
      <c r="C91" s="89"/>
      <c r="D91" s="74">
        <v>0.47333333333333333</v>
      </c>
      <c r="E91" s="55">
        <v>0.98333333333333339</v>
      </c>
      <c r="F91" s="56">
        <v>0.90333333333333332</v>
      </c>
      <c r="G91" s="57">
        <v>0.83666666666666656</v>
      </c>
      <c r="H91" s="58">
        <v>0.79500000000000004</v>
      </c>
      <c r="I91" s="60">
        <f t="shared" si="0"/>
        <v>0.79833333333333334</v>
      </c>
      <c r="J91" s="61">
        <f t="shared" si="1"/>
        <v>0.19516374891072613</v>
      </c>
      <c r="K91" s="54">
        <v>1.9466666666666665</v>
      </c>
      <c r="L91" s="55">
        <v>2.6633333333333336</v>
      </c>
      <c r="M91" s="56">
        <v>2.4166666666666665</v>
      </c>
      <c r="N91" s="57">
        <v>2.1466666666666665</v>
      </c>
      <c r="O91" s="58">
        <v>2.0299999999999998</v>
      </c>
      <c r="P91" s="60">
        <f t="shared" ref="P91:P92" si="6">AVERAGE(K91:O91)</f>
        <v>2.2406666666666668</v>
      </c>
      <c r="Q91" s="61">
        <f t="shared" ref="Q91:Q92" si="7">STDEV(K91:O91)</f>
        <v>0.29549769692653866</v>
      </c>
    </row>
    <row r="92" spans="1:17" ht="16.2" thickBot="1" x14ac:dyDescent="0.35">
      <c r="A92" s="73" t="s">
        <v>119</v>
      </c>
      <c r="B92" s="89" t="s">
        <v>120</v>
      </c>
      <c r="C92" s="89"/>
      <c r="D92" s="75">
        <v>0.41333333333333333</v>
      </c>
      <c r="E92" s="63">
        <v>1.0066666666666666</v>
      </c>
      <c r="F92" s="64">
        <v>0.94</v>
      </c>
      <c r="G92" s="65">
        <v>0.83666666666666656</v>
      </c>
      <c r="H92" s="66">
        <v>0.76666666666666661</v>
      </c>
      <c r="I92" s="60">
        <f t="shared" si="0"/>
        <v>0.79266666666666663</v>
      </c>
      <c r="J92" s="61">
        <f t="shared" si="1"/>
        <v>0.23130547382676059</v>
      </c>
      <c r="K92" s="62">
        <v>1.89</v>
      </c>
      <c r="L92" s="63">
        <v>2.5933333333333333</v>
      </c>
      <c r="M92" s="64">
        <v>2.44</v>
      </c>
      <c r="N92" s="65">
        <v>2.2966666666666669</v>
      </c>
      <c r="O92" s="66">
        <v>2.08</v>
      </c>
      <c r="P92" s="60">
        <f t="shared" si="6"/>
        <v>2.2600000000000002</v>
      </c>
      <c r="Q92" s="61">
        <f t="shared" si="7"/>
        <v>0.28024790612757094</v>
      </c>
    </row>
  </sheetData>
  <mergeCells count="16">
    <mergeCell ref="B92:C92"/>
    <mergeCell ref="A40:M40"/>
    <mergeCell ref="J53:K53"/>
    <mergeCell ref="B30:C30"/>
    <mergeCell ref="C2:L2"/>
    <mergeCell ref="C15:L15"/>
    <mergeCell ref="B66:C66"/>
    <mergeCell ref="J66:K66"/>
    <mergeCell ref="B42:C42"/>
    <mergeCell ref="B53:C53"/>
    <mergeCell ref="J42:K42"/>
    <mergeCell ref="D81:H81"/>
    <mergeCell ref="K81:O81"/>
    <mergeCell ref="B88:C88"/>
    <mergeCell ref="B89:C89"/>
    <mergeCell ref="B91:C9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Views>
    <sheetView workbookViewId="0">
      <selection activeCell="T16" sqref="T16"/>
    </sheetView>
  </sheetViews>
  <sheetFormatPr defaultRowHeight="14.4" x14ac:dyDescent="0.3"/>
  <cols>
    <col min="2" max="2" width="10.6640625" customWidth="1"/>
  </cols>
  <sheetData>
    <row r="1" spans="1:16" x14ac:dyDescent="0.3">
      <c r="A1" t="s">
        <v>50</v>
      </c>
    </row>
    <row r="2" spans="1:16" x14ac:dyDescent="0.3">
      <c r="A2" s="7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 x14ac:dyDescent="0.3">
      <c r="A3" s="10" t="s">
        <v>37</v>
      </c>
      <c r="B3" s="11" t="s">
        <v>34</v>
      </c>
      <c r="C3" s="11" t="s">
        <v>35</v>
      </c>
      <c r="D3" s="11" t="s">
        <v>36</v>
      </c>
      <c r="E3" s="10" t="s">
        <v>5</v>
      </c>
      <c r="F3" s="10" t="s">
        <v>6</v>
      </c>
      <c r="G3" s="10">
        <v>10</v>
      </c>
      <c r="H3" s="10">
        <v>12</v>
      </c>
      <c r="I3" s="10">
        <v>14</v>
      </c>
      <c r="J3" s="10">
        <v>16</v>
      </c>
      <c r="K3" s="10">
        <v>18</v>
      </c>
      <c r="L3" s="10">
        <v>20</v>
      </c>
      <c r="M3" s="10">
        <v>22</v>
      </c>
      <c r="N3" s="11" t="s">
        <v>46</v>
      </c>
      <c r="O3" s="11" t="s">
        <v>47</v>
      </c>
      <c r="P3" s="11" t="s">
        <v>48</v>
      </c>
    </row>
    <row r="4" spans="1:16" x14ac:dyDescent="0.3">
      <c r="A4" s="4">
        <v>1</v>
      </c>
      <c r="B4" s="4">
        <v>24.7</v>
      </c>
      <c r="C4" s="4">
        <v>22.8</v>
      </c>
      <c r="D4" s="4">
        <v>0.9</v>
      </c>
      <c r="E4" s="4">
        <v>51.5</v>
      </c>
      <c r="F4" s="2">
        <v>3.1</v>
      </c>
      <c r="G4" s="4">
        <v>4.5</v>
      </c>
      <c r="H4" s="4">
        <v>4.4000000000000004</v>
      </c>
      <c r="I4" s="4">
        <v>3.2</v>
      </c>
      <c r="J4" s="4">
        <v>5.5</v>
      </c>
      <c r="K4" s="4">
        <v>5.3</v>
      </c>
      <c r="L4" s="4">
        <v>3.6</v>
      </c>
      <c r="M4" s="4">
        <v>3.9</v>
      </c>
      <c r="N4" s="12">
        <v>0.9</v>
      </c>
      <c r="O4" s="12">
        <v>1.1000000000000001</v>
      </c>
      <c r="P4" s="12">
        <v>1.4</v>
      </c>
    </row>
    <row r="5" spans="1:16" x14ac:dyDescent="0.3">
      <c r="A5" s="4">
        <v>1</v>
      </c>
      <c r="B5" s="4">
        <v>11.8</v>
      </c>
      <c r="C5" s="4">
        <v>5.3</v>
      </c>
      <c r="D5" s="4">
        <v>1</v>
      </c>
      <c r="E5" s="4">
        <v>16.7</v>
      </c>
      <c r="F5" s="2">
        <v>2.1</v>
      </c>
      <c r="G5" s="4">
        <v>3.2</v>
      </c>
      <c r="H5" s="4">
        <v>3.5</v>
      </c>
      <c r="I5" s="4">
        <v>4.2</v>
      </c>
      <c r="J5" s="4">
        <v>6.3</v>
      </c>
      <c r="K5" s="4">
        <v>6.9</v>
      </c>
      <c r="L5" s="4">
        <v>6.5</v>
      </c>
      <c r="M5" s="4">
        <v>5.9</v>
      </c>
      <c r="N5" s="12">
        <v>0.9</v>
      </c>
      <c r="O5" s="12">
        <v>1.2</v>
      </c>
      <c r="P5" s="12">
        <v>1.7</v>
      </c>
    </row>
    <row r="6" spans="1:16" x14ac:dyDescent="0.3">
      <c r="A6" s="4">
        <v>1</v>
      </c>
      <c r="B6" s="4">
        <v>12.9</v>
      </c>
      <c r="C6" s="4">
        <v>12.4</v>
      </c>
      <c r="D6" s="4">
        <v>0.9</v>
      </c>
      <c r="E6" s="4">
        <v>19.7</v>
      </c>
      <c r="F6" s="2">
        <v>4.2</v>
      </c>
      <c r="G6" s="4">
        <v>1.9</v>
      </c>
      <c r="H6" s="4">
        <v>2</v>
      </c>
      <c r="I6" s="4">
        <v>2.2000000000000002</v>
      </c>
      <c r="J6" s="4">
        <v>2.8</v>
      </c>
      <c r="K6" s="4">
        <v>2.8</v>
      </c>
      <c r="L6" s="4">
        <v>1.9</v>
      </c>
      <c r="M6" s="4">
        <v>3</v>
      </c>
      <c r="N6" s="12">
        <v>0.8</v>
      </c>
      <c r="O6" s="12">
        <v>0.7</v>
      </c>
      <c r="P6" s="12">
        <v>0.9</v>
      </c>
    </row>
    <row r="7" spans="1:16" x14ac:dyDescent="0.3">
      <c r="A7" s="2"/>
      <c r="B7" s="4">
        <v>20.8</v>
      </c>
      <c r="C7" s="4">
        <v>21.6</v>
      </c>
      <c r="D7" s="4">
        <v>1.2</v>
      </c>
      <c r="E7" s="4">
        <v>67.7</v>
      </c>
      <c r="F7" s="2">
        <v>2.6</v>
      </c>
      <c r="G7" s="4">
        <v>3.3</v>
      </c>
      <c r="H7" s="4">
        <v>2.7</v>
      </c>
      <c r="I7" s="4">
        <v>3.1</v>
      </c>
      <c r="J7" s="4">
        <v>3.7</v>
      </c>
      <c r="K7" s="4">
        <v>4.8</v>
      </c>
      <c r="L7" s="4">
        <v>3.7</v>
      </c>
      <c r="M7" s="4">
        <v>4.5</v>
      </c>
      <c r="N7" s="2"/>
      <c r="O7" s="2"/>
      <c r="P7" s="2"/>
    </row>
    <row r="8" spans="1:16" x14ac:dyDescent="0.3">
      <c r="A8" s="2"/>
      <c r="B8" s="4">
        <v>50.2</v>
      </c>
      <c r="C8" s="4">
        <v>118</v>
      </c>
      <c r="D8" s="4">
        <v>1</v>
      </c>
      <c r="E8" s="4">
        <v>112.2</v>
      </c>
      <c r="F8" s="2">
        <v>4.7</v>
      </c>
      <c r="G8" s="4">
        <v>2.5</v>
      </c>
      <c r="H8" s="4">
        <v>2.7</v>
      </c>
      <c r="I8" s="4">
        <v>2.2000000000000002</v>
      </c>
      <c r="J8" s="4">
        <v>2.2000000000000002</v>
      </c>
      <c r="K8" s="4">
        <v>2.4</v>
      </c>
      <c r="L8" s="4">
        <v>2</v>
      </c>
      <c r="M8" s="4">
        <v>4.8</v>
      </c>
      <c r="N8" s="2"/>
      <c r="O8" s="2"/>
      <c r="P8" s="2"/>
    </row>
    <row r="9" spans="1:1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7" t="s">
        <v>39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0" t="s">
        <v>37</v>
      </c>
      <c r="B11" s="11" t="s">
        <v>34</v>
      </c>
      <c r="C11" s="11" t="s">
        <v>35</v>
      </c>
      <c r="D11" s="11" t="s">
        <v>36</v>
      </c>
      <c r="E11" s="10" t="s">
        <v>5</v>
      </c>
      <c r="F11" s="10" t="s">
        <v>6</v>
      </c>
      <c r="G11" s="10">
        <v>10</v>
      </c>
      <c r="H11" s="10">
        <v>12</v>
      </c>
      <c r="I11" s="10">
        <v>14</v>
      </c>
      <c r="J11" s="10">
        <v>16</v>
      </c>
      <c r="K11" s="10">
        <v>18</v>
      </c>
      <c r="L11" s="10">
        <v>20</v>
      </c>
      <c r="M11" s="10">
        <v>22</v>
      </c>
      <c r="N11" s="11" t="s">
        <v>46</v>
      </c>
      <c r="O11" s="11" t="s">
        <v>47</v>
      </c>
      <c r="P11" s="11" t="s">
        <v>48</v>
      </c>
    </row>
    <row r="12" spans="1:16" x14ac:dyDescent="0.3">
      <c r="A12" s="4">
        <v>1</v>
      </c>
      <c r="B12" s="4">
        <v>19.7</v>
      </c>
      <c r="C12" s="4">
        <v>6</v>
      </c>
      <c r="D12" s="4">
        <v>1</v>
      </c>
      <c r="E12" s="4">
        <v>47.1</v>
      </c>
      <c r="F12" s="4">
        <v>1.1000000000000001</v>
      </c>
      <c r="G12" s="4">
        <v>18.8</v>
      </c>
      <c r="H12" s="4">
        <v>21.5</v>
      </c>
      <c r="I12" s="4">
        <v>16.2</v>
      </c>
      <c r="J12" s="4">
        <v>31.6</v>
      </c>
      <c r="K12" s="4">
        <v>26.6</v>
      </c>
      <c r="L12" s="4">
        <v>10.8</v>
      </c>
      <c r="M12" s="4">
        <v>16.8</v>
      </c>
      <c r="N12" s="12">
        <v>0.5</v>
      </c>
      <c r="O12" s="12">
        <v>0.6</v>
      </c>
      <c r="P12" s="12">
        <v>0.9</v>
      </c>
    </row>
    <row r="13" spans="1:16" x14ac:dyDescent="0.3">
      <c r="A13" s="4">
        <v>1</v>
      </c>
      <c r="B13" s="4">
        <v>3.7</v>
      </c>
      <c r="C13" s="4">
        <v>1.1000000000000001</v>
      </c>
      <c r="D13" s="4">
        <v>0.9</v>
      </c>
      <c r="E13" s="4">
        <v>6.5</v>
      </c>
      <c r="F13" s="4">
        <v>1.2</v>
      </c>
      <c r="G13" s="4">
        <v>4.3</v>
      </c>
      <c r="H13" s="4">
        <v>4.9000000000000004</v>
      </c>
      <c r="I13" s="4">
        <v>6.1</v>
      </c>
      <c r="J13" s="4">
        <v>9.6</v>
      </c>
      <c r="K13" s="4">
        <v>9.1999999999999993</v>
      </c>
      <c r="L13" s="4">
        <v>7.8</v>
      </c>
      <c r="M13" s="4">
        <v>7.6</v>
      </c>
      <c r="N13" s="12">
        <v>0.8</v>
      </c>
      <c r="O13" s="12">
        <v>1</v>
      </c>
      <c r="P13" s="12">
        <v>1.4</v>
      </c>
    </row>
    <row r="14" spans="1:16" x14ac:dyDescent="0.3">
      <c r="A14" s="4">
        <v>1</v>
      </c>
      <c r="B14" s="4">
        <v>2.7</v>
      </c>
      <c r="C14" s="4">
        <v>3.9</v>
      </c>
      <c r="D14" s="4">
        <v>1</v>
      </c>
      <c r="E14" s="4">
        <v>22.2</v>
      </c>
      <c r="F14" s="4">
        <v>0.5</v>
      </c>
      <c r="G14" s="4">
        <v>4.4000000000000004</v>
      </c>
      <c r="H14" s="4">
        <v>6.2</v>
      </c>
      <c r="I14" s="4">
        <v>5.2</v>
      </c>
      <c r="J14" s="4">
        <v>8.6</v>
      </c>
      <c r="K14" s="4">
        <v>5.9</v>
      </c>
      <c r="L14" s="4">
        <v>2.4</v>
      </c>
      <c r="M14" s="4">
        <v>5.6</v>
      </c>
      <c r="N14" s="12">
        <v>0.9</v>
      </c>
      <c r="O14" s="12">
        <v>0.9</v>
      </c>
      <c r="P14" s="12">
        <v>1</v>
      </c>
    </row>
    <row r="15" spans="1:16" x14ac:dyDescent="0.3">
      <c r="A15" s="2"/>
      <c r="B15" s="4">
        <v>4.0999999999999996</v>
      </c>
      <c r="C15" s="4">
        <v>3.6</v>
      </c>
      <c r="D15" s="4">
        <v>1</v>
      </c>
      <c r="E15" s="4">
        <v>18.5</v>
      </c>
      <c r="F15" s="4">
        <v>0.6</v>
      </c>
      <c r="G15" s="4">
        <v>2.6</v>
      </c>
      <c r="H15" s="4">
        <v>3.6</v>
      </c>
      <c r="I15" s="4">
        <v>2.9</v>
      </c>
      <c r="J15" s="4">
        <v>3.3</v>
      </c>
      <c r="K15" s="4">
        <v>3.8</v>
      </c>
      <c r="L15" s="4">
        <v>3.1</v>
      </c>
      <c r="M15" s="4">
        <v>4.5999999999999996</v>
      </c>
      <c r="N15" s="2"/>
      <c r="O15" s="2"/>
      <c r="P15" s="2"/>
    </row>
    <row r="16" spans="1:16" x14ac:dyDescent="0.3">
      <c r="A16" s="2"/>
      <c r="B16" s="4">
        <v>7.5</v>
      </c>
      <c r="C16" s="4">
        <v>26.5</v>
      </c>
      <c r="D16" s="4">
        <v>0.9</v>
      </c>
      <c r="E16" s="4">
        <v>30.7</v>
      </c>
      <c r="F16" s="4">
        <v>0.5</v>
      </c>
      <c r="G16" s="4">
        <v>12.7</v>
      </c>
      <c r="H16" s="4">
        <v>14.5</v>
      </c>
      <c r="I16" s="4">
        <v>12.7</v>
      </c>
      <c r="J16" s="4">
        <v>13.2</v>
      </c>
      <c r="K16" s="4">
        <v>15.8</v>
      </c>
      <c r="L16" s="4">
        <v>12.3</v>
      </c>
      <c r="M16" s="4">
        <v>25.4</v>
      </c>
      <c r="N16" s="2"/>
      <c r="O16" s="2"/>
      <c r="P16" s="2"/>
    </row>
    <row r="17" spans="1:1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8" x14ac:dyDescent="0.3">
      <c r="A18" s="7" t="s">
        <v>40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8" x14ac:dyDescent="0.3">
      <c r="A19" s="10" t="s">
        <v>37</v>
      </c>
      <c r="B19" s="11" t="s">
        <v>41</v>
      </c>
      <c r="C19" s="11" t="s">
        <v>42</v>
      </c>
      <c r="D19" s="11" t="s">
        <v>43</v>
      </c>
      <c r="E19" s="10" t="s">
        <v>5</v>
      </c>
      <c r="F19" s="10" t="s">
        <v>6</v>
      </c>
      <c r="G19" s="10">
        <v>10</v>
      </c>
      <c r="H19" s="10">
        <v>12</v>
      </c>
      <c r="I19" s="10">
        <v>14</v>
      </c>
      <c r="J19" s="10">
        <v>16</v>
      </c>
      <c r="K19" s="10">
        <v>18</v>
      </c>
      <c r="L19" s="10">
        <v>20</v>
      </c>
      <c r="M19" s="10">
        <v>22</v>
      </c>
      <c r="N19" s="11" t="s">
        <v>46</v>
      </c>
      <c r="O19" s="11" t="s">
        <v>47</v>
      </c>
      <c r="P19" s="11" t="s">
        <v>48</v>
      </c>
    </row>
    <row r="20" spans="1:18" x14ac:dyDescent="0.3">
      <c r="A20" s="4">
        <v>1</v>
      </c>
      <c r="B20" s="4">
        <v>18.7</v>
      </c>
      <c r="C20" s="4">
        <v>6.4</v>
      </c>
      <c r="D20" s="4">
        <v>0.3</v>
      </c>
      <c r="E20" s="4">
        <v>17.100000000000001</v>
      </c>
      <c r="F20" s="4">
        <v>0.6</v>
      </c>
      <c r="G20" s="4">
        <v>1.3</v>
      </c>
      <c r="H20" s="4">
        <v>1.6</v>
      </c>
      <c r="I20" s="4">
        <v>1.3</v>
      </c>
      <c r="J20" s="4">
        <v>1.3</v>
      </c>
      <c r="K20" s="4">
        <v>1.6</v>
      </c>
      <c r="L20" s="4">
        <v>0.8</v>
      </c>
      <c r="M20" s="4">
        <v>0.7</v>
      </c>
      <c r="N20" s="12">
        <v>1.5</v>
      </c>
      <c r="O20" s="12">
        <v>1.2</v>
      </c>
      <c r="P20" s="12">
        <v>1.3</v>
      </c>
    </row>
    <row r="21" spans="1:18" x14ac:dyDescent="0.3">
      <c r="A21" s="4">
        <v>1</v>
      </c>
      <c r="B21" s="4">
        <v>10.199999999999999</v>
      </c>
      <c r="C21" s="4">
        <v>9.1999999999999993</v>
      </c>
      <c r="D21" s="4">
        <v>0.2</v>
      </c>
      <c r="E21" s="4">
        <v>9.9</v>
      </c>
      <c r="F21" s="4">
        <v>0.5</v>
      </c>
      <c r="G21" s="4">
        <v>0.8</v>
      </c>
      <c r="H21" s="4">
        <v>1.2</v>
      </c>
      <c r="I21" s="4">
        <v>1.7</v>
      </c>
      <c r="J21" s="4">
        <v>2.6</v>
      </c>
      <c r="K21" s="4">
        <v>2.7</v>
      </c>
      <c r="L21" s="4">
        <v>2.1</v>
      </c>
      <c r="M21" s="4">
        <v>2.1</v>
      </c>
      <c r="N21" s="12">
        <v>0.8</v>
      </c>
      <c r="O21" s="12">
        <v>0.7</v>
      </c>
      <c r="P21" s="12">
        <v>0.7</v>
      </c>
    </row>
    <row r="22" spans="1:18" x14ac:dyDescent="0.3">
      <c r="A22" s="4">
        <v>1</v>
      </c>
      <c r="B22" s="4">
        <v>18.399999999999999</v>
      </c>
      <c r="C22" s="4">
        <v>6.5</v>
      </c>
      <c r="D22" s="4">
        <v>0.3</v>
      </c>
      <c r="E22" s="4">
        <v>10.3</v>
      </c>
      <c r="F22" s="4">
        <v>0.6</v>
      </c>
      <c r="G22" s="4">
        <v>1.3</v>
      </c>
      <c r="H22" s="4">
        <v>1.4</v>
      </c>
      <c r="I22" s="4">
        <v>1</v>
      </c>
      <c r="J22" s="4">
        <v>1</v>
      </c>
      <c r="K22" s="4">
        <v>0.9</v>
      </c>
      <c r="L22" s="4">
        <v>0.8</v>
      </c>
      <c r="M22" s="4">
        <v>1.4</v>
      </c>
      <c r="N22" s="12">
        <v>0.7</v>
      </c>
      <c r="O22" s="12">
        <v>0.6</v>
      </c>
      <c r="P22" s="12">
        <v>0.6</v>
      </c>
    </row>
    <row r="23" spans="1:18" x14ac:dyDescent="0.3">
      <c r="A23" s="2"/>
      <c r="B23" s="4">
        <v>21</v>
      </c>
      <c r="C23" s="4">
        <v>13.3</v>
      </c>
      <c r="D23" s="4">
        <v>0.2</v>
      </c>
      <c r="E23" s="4">
        <v>12.8</v>
      </c>
      <c r="F23" s="4">
        <v>0.5</v>
      </c>
      <c r="G23" s="4">
        <v>0.9</v>
      </c>
      <c r="H23" s="4">
        <v>1.5</v>
      </c>
      <c r="I23" s="4">
        <v>2</v>
      </c>
      <c r="J23" s="4">
        <v>1.4</v>
      </c>
      <c r="K23" s="4">
        <v>0.8</v>
      </c>
      <c r="L23" s="4">
        <v>0.5</v>
      </c>
      <c r="M23" s="4">
        <v>0.7</v>
      </c>
      <c r="N23" s="2"/>
      <c r="O23" s="2"/>
      <c r="P23" s="2"/>
    </row>
    <row r="24" spans="1:18" x14ac:dyDescent="0.3">
      <c r="A24" s="2"/>
      <c r="B24" s="4">
        <v>15</v>
      </c>
      <c r="C24" s="4">
        <v>11.8</v>
      </c>
      <c r="D24" s="4">
        <v>0.1</v>
      </c>
      <c r="E24" s="4">
        <v>8.9</v>
      </c>
      <c r="F24" s="4">
        <v>1.4</v>
      </c>
      <c r="G24" s="4">
        <v>0.6</v>
      </c>
      <c r="H24" s="4">
        <v>0.7</v>
      </c>
      <c r="I24" s="4">
        <v>1</v>
      </c>
      <c r="J24" s="4">
        <v>1.1000000000000001</v>
      </c>
      <c r="K24" s="4">
        <v>0.8</v>
      </c>
      <c r="L24" s="4">
        <v>0.5</v>
      </c>
      <c r="M24" s="4">
        <v>1.3</v>
      </c>
      <c r="N24" s="2"/>
      <c r="O24" s="2"/>
      <c r="P24" s="2"/>
      <c r="R24" s="9"/>
    </row>
    <row r="25" spans="1:18" x14ac:dyDescent="0.3">
      <c r="N25" s="1"/>
      <c r="O25" s="1"/>
      <c r="P25" s="1"/>
    </row>
    <row r="26" spans="1:18" x14ac:dyDescent="0.3">
      <c r="A26" s="9" t="s">
        <v>44</v>
      </c>
      <c r="N26" s="1"/>
      <c r="O26" s="1"/>
      <c r="P26" s="1"/>
    </row>
    <row r="27" spans="1:18" x14ac:dyDescent="0.3">
      <c r="A27" s="10" t="s">
        <v>37</v>
      </c>
      <c r="B27" s="11" t="s">
        <v>41</v>
      </c>
      <c r="C27" s="11" t="s">
        <v>42</v>
      </c>
      <c r="D27" s="11" t="s">
        <v>43</v>
      </c>
      <c r="E27" s="10" t="s">
        <v>5</v>
      </c>
      <c r="F27" s="10" t="s">
        <v>6</v>
      </c>
      <c r="G27" s="10">
        <v>10</v>
      </c>
      <c r="H27" s="10">
        <v>12</v>
      </c>
      <c r="I27" s="10">
        <v>14</v>
      </c>
      <c r="J27" s="10">
        <v>16</v>
      </c>
      <c r="K27" s="10">
        <v>18</v>
      </c>
      <c r="L27" s="10">
        <v>20</v>
      </c>
      <c r="M27" s="10">
        <v>22</v>
      </c>
      <c r="N27" s="11" t="s">
        <v>46</v>
      </c>
      <c r="O27" s="11" t="s">
        <v>47</v>
      </c>
      <c r="P27" s="11" t="s">
        <v>48</v>
      </c>
    </row>
    <row r="28" spans="1:18" x14ac:dyDescent="0.3">
      <c r="A28" s="4">
        <v>1</v>
      </c>
      <c r="B28" s="12">
        <v>4.8</v>
      </c>
      <c r="C28" s="12">
        <v>4.5999999999999996</v>
      </c>
      <c r="D28" s="12">
        <v>0.3</v>
      </c>
      <c r="E28" s="12">
        <v>4.9000000000000004</v>
      </c>
      <c r="F28" s="12">
        <v>0.8</v>
      </c>
      <c r="G28" s="12">
        <v>0.9</v>
      </c>
      <c r="H28" s="12">
        <v>1.1000000000000001</v>
      </c>
      <c r="I28" s="12">
        <v>0.9</v>
      </c>
      <c r="J28" s="12">
        <v>0.7</v>
      </c>
      <c r="K28" s="12">
        <v>0.9</v>
      </c>
      <c r="L28" s="12">
        <v>0.6</v>
      </c>
      <c r="M28" s="12">
        <v>0.6</v>
      </c>
      <c r="N28" s="12">
        <v>1</v>
      </c>
      <c r="O28" s="12">
        <v>0.9</v>
      </c>
      <c r="P28" s="12">
        <v>0.8</v>
      </c>
    </row>
    <row r="29" spans="1:18" x14ac:dyDescent="0.3">
      <c r="A29" s="4">
        <v>1</v>
      </c>
      <c r="B29" s="12">
        <v>3.1</v>
      </c>
      <c r="C29" s="12">
        <v>3.1</v>
      </c>
      <c r="D29" s="12">
        <v>0.4</v>
      </c>
      <c r="E29" s="12">
        <v>3.1</v>
      </c>
      <c r="F29" s="12">
        <v>0.7</v>
      </c>
      <c r="G29" s="12">
        <v>0.7</v>
      </c>
      <c r="H29" s="12">
        <v>1</v>
      </c>
      <c r="I29" s="12">
        <v>1.3</v>
      </c>
      <c r="J29" s="12">
        <v>1.7</v>
      </c>
      <c r="K29" s="12">
        <v>1.9</v>
      </c>
      <c r="L29" s="12">
        <v>1.6</v>
      </c>
      <c r="M29" s="12">
        <v>1.3</v>
      </c>
      <c r="N29" s="12">
        <v>0.9</v>
      </c>
      <c r="O29" s="12">
        <v>0.8</v>
      </c>
      <c r="P29" s="12">
        <v>0.7</v>
      </c>
    </row>
    <row r="30" spans="1:18" x14ac:dyDescent="0.3">
      <c r="A30" s="4">
        <v>1</v>
      </c>
      <c r="B30" s="12">
        <v>7.6</v>
      </c>
      <c r="C30" s="12">
        <v>6.9</v>
      </c>
      <c r="D30" s="12">
        <v>0.5</v>
      </c>
      <c r="E30" s="12">
        <v>6.8</v>
      </c>
      <c r="F30" s="12">
        <v>0.9</v>
      </c>
      <c r="G30" s="12">
        <v>1</v>
      </c>
      <c r="H30" s="12">
        <v>1.1000000000000001</v>
      </c>
      <c r="I30" s="12">
        <v>0.9</v>
      </c>
      <c r="J30" s="12">
        <v>1</v>
      </c>
      <c r="K30" s="12">
        <v>1</v>
      </c>
      <c r="L30" s="12">
        <v>1</v>
      </c>
      <c r="M30" s="12">
        <v>1.1000000000000001</v>
      </c>
      <c r="N30" s="12">
        <v>0.8</v>
      </c>
      <c r="O30" s="12">
        <v>0.7</v>
      </c>
      <c r="P30" s="12">
        <v>0.6</v>
      </c>
    </row>
    <row r="31" spans="1:18" x14ac:dyDescent="0.3">
      <c r="A31" s="2"/>
      <c r="B31" s="12">
        <v>5.5</v>
      </c>
      <c r="C31" s="12">
        <v>5.6</v>
      </c>
      <c r="D31" s="12">
        <v>0.4</v>
      </c>
      <c r="E31" s="12">
        <v>4.8</v>
      </c>
      <c r="F31" s="12">
        <v>0.7</v>
      </c>
      <c r="G31" s="12">
        <v>0.7</v>
      </c>
      <c r="H31" s="12">
        <v>0.9</v>
      </c>
      <c r="I31" s="12">
        <v>1</v>
      </c>
      <c r="J31" s="12">
        <v>0.8</v>
      </c>
      <c r="K31" s="12">
        <v>0.7</v>
      </c>
      <c r="L31" s="12">
        <v>0.7</v>
      </c>
      <c r="M31" s="12">
        <v>0.8</v>
      </c>
      <c r="N31" s="2"/>
      <c r="O31" s="2"/>
      <c r="P31" s="2"/>
    </row>
    <row r="32" spans="1:18" x14ac:dyDescent="0.3">
      <c r="A32" s="2"/>
      <c r="B32" s="12">
        <v>4</v>
      </c>
      <c r="C32" s="12">
        <v>4</v>
      </c>
      <c r="D32" s="12">
        <v>0.4</v>
      </c>
      <c r="E32" s="12">
        <v>3.4</v>
      </c>
      <c r="F32" s="12">
        <v>0.9</v>
      </c>
      <c r="G32" s="12">
        <v>0.9</v>
      </c>
      <c r="H32" s="12">
        <v>0.9</v>
      </c>
      <c r="I32" s="12">
        <v>0.9</v>
      </c>
      <c r="J32" s="12">
        <v>1</v>
      </c>
      <c r="K32" s="12">
        <v>0.9</v>
      </c>
      <c r="L32" s="12">
        <v>0.8</v>
      </c>
      <c r="M32" s="12">
        <v>0.9</v>
      </c>
      <c r="N32" s="2"/>
      <c r="O32" s="2"/>
      <c r="P32" s="2"/>
    </row>
    <row r="35" spans="1:10" x14ac:dyDescent="0.3">
      <c r="A35" s="9" t="s">
        <v>49</v>
      </c>
    </row>
    <row r="36" spans="1:10" x14ac:dyDescent="0.3">
      <c r="A36" s="9" t="s">
        <v>51</v>
      </c>
    </row>
    <row r="37" spans="1:10" x14ac:dyDescent="0.3">
      <c r="A37" s="11" t="s">
        <v>37</v>
      </c>
      <c r="B37" s="11" t="s">
        <v>34</v>
      </c>
      <c r="C37" s="11" t="s">
        <v>35</v>
      </c>
      <c r="D37" s="11" t="s">
        <v>36</v>
      </c>
      <c r="E37" s="1"/>
      <c r="F37" s="10" t="s">
        <v>15</v>
      </c>
      <c r="G37" s="10" t="s">
        <v>14</v>
      </c>
      <c r="H37" s="10" t="s">
        <v>13</v>
      </c>
      <c r="I37" s="10" t="s">
        <v>12</v>
      </c>
      <c r="J37" s="10" t="s">
        <v>11</v>
      </c>
    </row>
    <row r="38" spans="1:10" x14ac:dyDescent="0.3">
      <c r="A38" s="12">
        <v>1</v>
      </c>
      <c r="B38" s="12">
        <v>4</v>
      </c>
      <c r="C38" s="12">
        <v>3.5</v>
      </c>
      <c r="D38" s="12">
        <v>1.3</v>
      </c>
      <c r="E38" s="1"/>
      <c r="F38" s="12">
        <v>1.4</v>
      </c>
      <c r="G38" s="12">
        <v>1.5</v>
      </c>
      <c r="H38" s="12">
        <v>1.6</v>
      </c>
      <c r="I38" s="12">
        <v>2.8</v>
      </c>
      <c r="J38" s="12">
        <v>2.9</v>
      </c>
    </row>
    <row r="39" spans="1:10" x14ac:dyDescent="0.3">
      <c r="A39" s="12">
        <v>1</v>
      </c>
      <c r="B39" s="12">
        <v>17.3</v>
      </c>
      <c r="C39" s="12">
        <v>26.5</v>
      </c>
      <c r="D39" s="12">
        <v>1.1000000000000001</v>
      </c>
      <c r="E39" s="1"/>
      <c r="F39" s="12">
        <v>1.3</v>
      </c>
      <c r="G39" s="12">
        <v>1.3</v>
      </c>
      <c r="H39" s="12">
        <v>1.5</v>
      </c>
      <c r="I39" s="12">
        <v>3.5</v>
      </c>
      <c r="J39" s="12">
        <v>6.5</v>
      </c>
    </row>
    <row r="40" spans="1:10" x14ac:dyDescent="0.3">
      <c r="A40" s="12">
        <v>1</v>
      </c>
      <c r="B40" s="12">
        <v>26.8</v>
      </c>
      <c r="C40" s="12">
        <v>21.6</v>
      </c>
      <c r="D40" s="12">
        <v>1.3</v>
      </c>
      <c r="E40" s="1"/>
      <c r="F40" s="12">
        <v>1.3</v>
      </c>
      <c r="G40" s="12">
        <v>1.5</v>
      </c>
      <c r="H40" s="12">
        <v>1.8</v>
      </c>
      <c r="I40" s="12">
        <v>3.5</v>
      </c>
      <c r="J40" s="12">
        <v>3.7</v>
      </c>
    </row>
    <row r="42" spans="1:10" x14ac:dyDescent="0.3">
      <c r="A42" s="9" t="s">
        <v>39</v>
      </c>
    </row>
    <row r="43" spans="1:10" x14ac:dyDescent="0.3">
      <c r="A43" s="11" t="s">
        <v>37</v>
      </c>
      <c r="B43" s="11" t="s">
        <v>34</v>
      </c>
      <c r="C43" s="11" t="s">
        <v>35</v>
      </c>
      <c r="D43" s="11" t="s">
        <v>36</v>
      </c>
      <c r="E43" s="1"/>
      <c r="F43" s="10" t="s">
        <v>15</v>
      </c>
      <c r="G43" s="10" t="s">
        <v>14</v>
      </c>
      <c r="H43" s="10" t="s">
        <v>13</v>
      </c>
      <c r="I43" s="10" t="s">
        <v>12</v>
      </c>
      <c r="J43" s="10" t="s">
        <v>11</v>
      </c>
    </row>
    <row r="44" spans="1:10" x14ac:dyDescent="0.3">
      <c r="A44" s="12">
        <v>1</v>
      </c>
      <c r="B44" s="12">
        <v>3.3</v>
      </c>
      <c r="C44" s="12">
        <v>1.1000000000000001</v>
      </c>
      <c r="D44" s="12">
        <v>1.4</v>
      </c>
      <c r="E44" s="1"/>
      <c r="F44" s="12">
        <v>1.6</v>
      </c>
      <c r="G44" s="12">
        <v>1.6</v>
      </c>
      <c r="H44" s="12">
        <v>1.7</v>
      </c>
      <c r="I44" s="12">
        <v>4.3</v>
      </c>
      <c r="J44" s="12">
        <v>5.2</v>
      </c>
    </row>
    <row r="45" spans="1:10" x14ac:dyDescent="0.3">
      <c r="A45" s="12">
        <v>1</v>
      </c>
      <c r="B45" s="12">
        <v>11</v>
      </c>
      <c r="C45" s="12">
        <v>20.2</v>
      </c>
      <c r="D45" s="12">
        <v>1.3</v>
      </c>
      <c r="E45" s="1"/>
      <c r="F45" s="12">
        <v>2</v>
      </c>
      <c r="G45" s="12">
        <v>1.6</v>
      </c>
      <c r="H45" s="12">
        <v>1.8</v>
      </c>
      <c r="I45" s="12">
        <v>9.9</v>
      </c>
      <c r="J45" s="12">
        <v>27.8</v>
      </c>
    </row>
    <row r="46" spans="1:10" x14ac:dyDescent="0.3">
      <c r="A46" s="12">
        <v>1</v>
      </c>
      <c r="B46" s="12">
        <v>10</v>
      </c>
      <c r="C46" s="12">
        <v>3.5</v>
      </c>
      <c r="D46" s="12">
        <v>1.2</v>
      </c>
      <c r="E46" s="1"/>
      <c r="F46" s="12">
        <v>1.2</v>
      </c>
      <c r="G46" s="12">
        <v>1.4</v>
      </c>
      <c r="H46" s="12">
        <v>2.1</v>
      </c>
      <c r="I46" s="12">
        <v>5.3</v>
      </c>
      <c r="J46" s="12">
        <v>9.4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Figure 1</vt:lpstr>
      <vt:lpstr>Figure 2</vt:lpstr>
      <vt:lpstr>Figure 3</vt:lpstr>
      <vt:lpstr>Figure 4</vt:lpstr>
      <vt:lpstr>Figure 5</vt:lpstr>
      <vt:lpstr>Figure 6</vt:lpstr>
    </vt:vector>
  </TitlesOfParts>
  <Company>F. Hoffmann-La Roche, Ltd.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Sewing, Sabine {PNAM~Basel}</dc:creator>
  <cp:lastModifiedBy>Sewing, Sabine {PNAM~Basel}</cp:lastModifiedBy>
  <dcterms:created xsi:type="dcterms:W3CDTF">2017-08-28T09:15:33Z</dcterms:created>
  <dcterms:modified xsi:type="dcterms:W3CDTF">2017-09-18T09:18:50Z</dcterms:modified>
</cp:coreProperties>
</file>